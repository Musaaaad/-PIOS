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417517059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b3715914da4de2"/>
    <x:sheet xmlns:r="http://schemas.openxmlformats.org/officeDocument/2006/relationships" name="Pilot_Charter" sheetId="2" r:id="Rc3bc3d68646f48de"/>
    <x:sheet xmlns:r="http://schemas.openxmlformats.org/officeDocument/2006/relationships" name="Identity_Bindings" sheetId="3" r:id="R97e52e6146bd432d"/>
    <x:sheet xmlns:r="http://schemas.openxmlformats.org/officeDocument/2006/relationships" name="Data_Provenance" sheetId="4" r:id="Rd45647641ead4454"/>
    <x:sheet xmlns:r="http://schemas.openxmlformats.org/officeDocument/2006/relationships" name="Session_Execution" sheetId="5" r:id="R6e72889e701a4b50"/>
    <x:sheet xmlns:r="http://schemas.openxmlformats.org/officeDocument/2006/relationships" name="Outcome_Metrics" sheetId="6" r:id="R0aab79bdfa0f4959"/>
    <x:sheet xmlns:r="http://schemas.openxmlformats.org/officeDocument/2006/relationships" name="Adoption_Events" sheetId="7" r:id="Rc36404a402ad40b1"/>
    <x:sheet xmlns:r="http://schemas.openxmlformats.org/officeDocument/2006/relationships" name="Feedback" sheetId="8" r:id="Rf61c2167aba5450c"/>
    <x:sheet xmlns:r="http://schemas.openxmlformats.org/officeDocument/2006/relationships" name="Outcome_Report" sheetId="9" r:id="R2621994d00514616"/>
    <x:sheet xmlns:r="http://schemas.openxmlformats.org/officeDocument/2006/relationships" name="Dashboard" sheetId="10" r:id="R0c09835d14da4c97"/>
    <x:sheet xmlns:r="http://schemas.openxmlformats.org/officeDocument/2006/relationships" name="_Lists" sheetId="11" r:id="Rfcdbd74d8b9c46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6C"/>
      <x:name val="Carlito"/>
    </x:font>
    <x:font>
      <x:b/>
      <x:sz val="11"/>
      <x:color rgb="FF15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F6C"/>
      </x:patternFill>
    </x:fill>
    <x:fill>
      <x:patternFill patternType="solid">
        <x:fgColor rgb="FFEAF5F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8d47862a648ff" /><Relationship Type="http://schemas.openxmlformats.org/officeDocument/2006/relationships/theme" Target="/xl/theme/theme1.xml" Id="R897b5757baec4469" /><Relationship Type="http://schemas.microsoft.com/office/2022/11/relationships/FeaturePropertyBag" Target="/xl/featurePropertyBag/featurePropertyBag.xml" Id="R37ebc8438c554353" /><Relationship Type="http://schemas.openxmlformats.org/officeDocument/2006/relationships/sharedStrings" Target="/xl/sharedStrings.xml" Id="R8f778f6036ee4749" /><Relationship Type="http://schemas.openxmlformats.org/officeDocument/2006/relationships/worksheet" Target="/xl/worksheets/sheet1.xml" Id="R80b3715914da4de2" /><Relationship Type="http://schemas.openxmlformats.org/officeDocument/2006/relationships/worksheet" Target="/xl/worksheets/sheet2.xml" Id="Rc3bc3d68646f48de" /><Relationship Type="http://schemas.openxmlformats.org/officeDocument/2006/relationships/worksheet" Target="/xl/worksheets/sheet3.xml" Id="R97e52e6146bd432d" /><Relationship Type="http://schemas.openxmlformats.org/officeDocument/2006/relationships/worksheet" Target="/xl/worksheets/sheet4.xml" Id="Rd45647641ead4454" /><Relationship Type="http://schemas.openxmlformats.org/officeDocument/2006/relationships/worksheet" Target="/xl/worksheets/sheet5.xml" Id="R6e72889e701a4b50" /><Relationship Type="http://schemas.openxmlformats.org/officeDocument/2006/relationships/worksheet" Target="/xl/worksheets/sheet6.xml" Id="R0aab79bdfa0f4959" /><Relationship Type="http://schemas.openxmlformats.org/officeDocument/2006/relationships/worksheet" Target="/xl/worksheets/sheet7.xml" Id="Rc36404a402ad40b1" /><Relationship Type="http://schemas.openxmlformats.org/officeDocument/2006/relationships/worksheet" Target="/xl/worksheets/sheet8.xml" Id="Rf61c2167aba5450c" /><Relationship Type="http://schemas.openxmlformats.org/officeDocument/2006/relationships/worksheet" Target="/xl/worksheets/sheet9.xml" Id="R2621994d00514616" /><Relationship Type="http://schemas.openxmlformats.org/officeDocument/2006/relationships/worksheet" Target="/xl/worksheets/sheet10.xml" Id="R0c09835d14da4c97" /><Relationship Type="http://schemas.openxmlformats.org/officeDocument/2006/relationships/worksheet" Target="/xl/worksheets/sheet11.xml" Id="Rfcdbd74d8b9c46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17b9c807244d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Institutional Pilot Indicators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'Dashboard'!$A$7:$A$16</c:f>
              <c:strCache>
                <c:ptCount val="0"/>
              </c:strCache>
            </c:strRef>
          </c:cat>
          <c:val>
            <c:numRef>
              <c:f>'Dashboard'!$B$7:$B$16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17b9c807244db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ilotIdentityBindingsTable" displayName="PilotIdentityBindingsTable" ref="A4:N24" headerRowCount="1">
  <x:tableColumns count="14">
    <x:tableColumn id="1" name="Binding Code"/>
    <x:tableColumn id="2" name="Subject Hash"/>
    <x:tableColumn id="3" name="Issuer"/>
    <x:tableColumn id="4" name="Email Hint"/>
    <x:tableColumn id="5" name="Role Codes"/>
    <x:tableColumn id="6" name="Site Codes"/>
    <x:tableColumn id="7" name="Authority Verified"/>
    <x:tableColumn id="8" name="Training Verified"/>
    <x:tableColumn id="9" name="Site Scope Verified"/>
    <x:tableColumn id="10" name="Evidence Ref"/>
    <x:tableColumn id="11" name="Verified"/>
    <x:tableColumn id="12" name="Active"/>
    <x:tableColumn id="13" name="Verified Date"/>
    <x:tableColumn id="14" name="Ready Flag"/>
  </x:tableColumns>
  <x:tableStyleInfo name="TableStyleMedium2" showRowStripes="1"/>
</x:table>
</file>

<file path=xl/tables/table2.xml><?xml version="1.0" encoding="utf-8"?>
<x:table xmlns:x="http://schemas.openxmlformats.org/spreadsheetml/2006/main" id="2" name="PilotDataProvenanceTable" displayName="PilotDataProvenanceTable" ref="A4:N24" headerRowCount="1">
  <x:tableColumns count="14">
    <x:tableColumn id="1" name="Source Code"/>
    <x:tableColumn id="2" name="Source System"/>
    <x:tableColumn id="3" name="Source Type"/>
    <x:tableColumn id="4" name="Classification"/>
    <x:tableColumn id="5" name="Period Start"/>
    <x:tableColumn id="6" name="Period End"/>
    <x:tableColumn id="7" name="Record Count"/>
    <x:tableColumn id="8" name="Contains Patient IDs"/>
    <x:tableColumn id="9" name="Deidentified/Tokenized"/>
    <x:tableColumn id="10" name="SHA-256"/>
    <x:tableColumn id="11" name="Evidence Ref"/>
    <x:tableColumn id="12" name="Attested"/>
    <x:tableColumn id="13" name="Attested By"/>
    <x:tableColumn id="14" name="Ready Flag"/>
  </x:tableColumns>
  <x:tableStyleInfo name="TableStyleMedium2" showRowStripes="1"/>
</x:table>
</file>

<file path=xl/tables/table3.xml><?xml version="1.0" encoding="utf-8"?>
<x:table xmlns:x="http://schemas.openxmlformats.org/spreadsheetml/2006/main" id="3" name="PilotSessionExecutionTable" displayName="PilotSessionExecutionTable" ref="A4:M24" headerRowCount="1">
  <x:tableColumns count="13">
    <x:tableColumn id="1" name="Execution Code"/>
    <x:tableColumn id="2" name="Session Code"/>
    <x:tableColumn id="3" name="Governance Code"/>
    <x:tableColumn id="4" name="Sequence"/>
    <x:tableColumn id="5" name="Status"/>
    <x:tableColumn id="6" name="Live Data Attested"/>
    <x:tableColumn id="7" name="Governance Ready"/>
    <x:tableColumn id="8" name="Decision Count"/>
    <x:tableColumn id="9" name="Quality Review Count"/>
    <x:tableColumn id="10" name="Started At"/>
    <x:tableColumn id="11" name="Completed At"/>
    <x:tableColumn id="12" name="Evidence Ref"/>
    <x:tableColumn id="13" name="Ready Flag"/>
  </x:tableColumns>
  <x:tableStyleInfo name="TableStyleMedium2" showRowStripes="1"/>
</x:table>
</file>

<file path=xl/tables/table4.xml><?xml version="1.0" encoding="utf-8"?>
<x:table xmlns:x="http://schemas.openxmlformats.org/spreadsheetml/2006/main" id="4" name="PilotOutcomeMetricsTable" displayName="PilotOutcomeMetricsTable" ref="A4:N7" headerRowCount="1">
  <x:tableColumns count="14">
    <x:tableColumn id="1" name="Metric Code"/>
    <x:tableColumn id="2" name="Name"/>
    <x:tableColumn id="3" name="Category"/>
    <x:tableColumn id="4" name="Direction"/>
    <x:tableColumn id="5" name="Baseline"/>
    <x:tableColumn id="6" name="Current"/>
    <x:tableColumn id="7" name="Target"/>
    <x:tableColumn id="8" name="Unit"/>
    <x:tableColumn id="9" name="Status"/>
    <x:tableColumn id="10" name="Source Ref"/>
    <x:tableColumn id="11" name="Measured At"/>
    <x:tableColumn id="12" name="Owner Role"/>
    <x:tableColumn id="13" name="Guardrail Note"/>
    <x:tableColumn id="14" name="Ready Flag"/>
  </x:tableColumns>
  <x:tableStyleInfo name="TableStyleMedium2" showRowStripes="1"/>
</x:table>
</file>

<file path=xl/tables/table5.xml><?xml version="1.0" encoding="utf-8"?>
<x:table xmlns:x="http://schemas.openxmlformats.org/spreadsheetml/2006/main" id="5" name="PilotAdoptionEventsTable" displayName="PilotAdoptionEventsTable" ref="A4:J54" headerRowCount="1">
  <x:tableColumns count="10">
    <x:tableColumn id="1" name="Event Code"/>
    <x:tableColumn id="2" name="Event Type"/>
    <x:tableColumn id="3" name="Role Code"/>
    <x:tableColumn id="4" name="Actor Token"/>
    <x:tableColumn id="5" name="Count"/>
    <x:tableColumn id="6" name="Occurred At"/>
    <x:tableColumn id="7" name="Evidence Ref"/>
    <x:tableColumn id="8" name="Metadata"/>
    <x:tableColumn id="9" name="Privacy Checked"/>
    <x:tableColumn id="10" name="Ready Flag"/>
  </x:tableColumns>
  <x:tableStyleInfo name="TableStyleMedium2" showRowStripes="1"/>
</x:table>
</file>

<file path=xl/tables/table6.xml><?xml version="1.0" encoding="utf-8"?>
<x:table xmlns:x="http://schemas.openxmlformats.org/spreadsheetml/2006/main" id="6" name="PilotFeedbackTable" displayName="PilotFeedbackTable" ref="A4:J54" headerRowCount="1">
  <x:tableColumns count="10">
    <x:tableColumn id="1" name="Feedback Code"/>
    <x:tableColumn id="2" name="Respondent Token"/>
    <x:tableColumn id="3" name="Role Code"/>
    <x:tableColumn id="4" name="Category"/>
    <x:tableColumn id="5" name="Rating 1-5"/>
    <x:tableColumn id="6" name="Comment"/>
    <x:tableColumn id="7" name="Contains Patient Data"/>
    <x:tableColumn id="8" name="Status"/>
    <x:tableColumn id="9" name="Recorded At"/>
    <x:tableColumn id="10" name="Ready Flag"/>
  </x:tableColumns>
  <x:tableStyleInfo name="TableStyleMedium2" showRowStripes="1"/>
</x:table>
</file>

<file path=xl/tables/table7.xml><?xml version="1.0" encoding="utf-8"?>
<x:table xmlns:x="http://schemas.openxmlformats.org/spreadsheetml/2006/main" id="7" name="PilotOutcomeReportsTable" displayName="PilotOutcomeReportsTable" ref="A4:L14" headerRowCount="1">
  <x:tableColumns count="12">
    <x:tableColumn id="1" name="Report Code"/>
    <x:tableColumn id="2" name="Classification"/>
    <x:tableColumn id="3" name="Status"/>
    <x:tableColumn id="4" name="Conclusions"/>
    <x:tableColumn id="5" name="Limitations"/>
    <x:tableColumn id="6" name="File URI"/>
    <x:tableColumn id="7" name="SHA-256"/>
    <x:tableColumn id="8" name="Generated By"/>
    <x:tableColumn id="9" name="Approved By"/>
    <x:tableColumn id="10" name="Published By"/>
    <x:tableColumn id="11" name="Published Date"/>
    <x:tableColumn id="12" name="Ready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3faab32db1c43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5b76c61c45241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6b0127b67b744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e529cde866a43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b4e4c87a9ba4a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4e5a33fb41549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78c51ac28104d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70148d1f6ffd441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</x:cols>
  <x:sheetData>
    <x:row r="1" ht="18" hidden="0" customHeight="1">
      <x:c r="A1" s="40" t="str">
        <x:v>PIOS - حزمة تنفيذ التجربة المؤسسية وقياس النتائج</x:v>
      </x:c>
      <x:c r="B1" s="40"/>
      <x:c r="C1" s="40"/>
      <x:c r="D1" s="40"/>
      <x:c r="E1" s="40"/>
      <x:c r="F1" s="40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8" hidden="0" customHeight="1">
      <x:c r="A2" s="40"/>
      <x:c r="B2" s="40"/>
      <x:c r="C2" s="40"/>
      <x:c r="D2" s="40"/>
      <x:c r="E2" s="40"/>
      <x:c r="F2" s="40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5" hidden="0" customHeight="1">
      <x:c r="A4" s="42" t="str">
        <x:v>البند</x:v>
      </x:c>
      <x:c r="B4" s="43" t="str">
        <x:v>الوصف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5" hidden="0" customHeight="1">
      <x:c r="A5" s="42" t="str">
        <x:v>الغرض</x:v>
      </x:c>
      <x:c r="B5" s="43" t="str">
        <x:v>إدارة التجربة المؤسسية من الميثاق والهوية ومصادر البيانات حتى الجلسات والنتائج والتقرير.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5" hidden="0" customHeight="1">
      <x:c r="A6" s="42" t="str">
        <x:v>قاعدة الهوية</x:v>
      </x:c>
      <x:c r="B6" s="43" t="str">
        <x:v>لا تخزن Subject أوToken خام؛ يسجل Hash فقط مع Issuer وRoles وSite Scope.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5" hidden="0" customHeight="1">
      <x:c r="A7" s="42" t="str">
        <x:v>قاعدة الخصوصية</x:v>
      </x:c>
      <x:c r="B7" s="43" t="str">
        <x:v>لا يسمح بمعرفات مرضى مباشرة في مصادر التجربة أوالتغذية الراجعة.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5" hidden="0" customHeight="1">
      <x:c r="A8" s="42" t="str">
        <x:v>قاعدة الجلسة</x:v>
      </x:c>
      <x:c r="B8" s="43" t="str">
        <x:v>يلزم Governance Ready وقرار بشري ومراجعة جودة مستقلة.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5" hidden="0" customHeight="1">
      <x:c r="A9" s="42" t="str">
        <x:v>قاعدة النتائج</x:v>
      </x:c>
      <x:c r="B9" s="43" t="str">
        <x:v>Outcome Metrics تقيس التشغيل والتبني ولا تمثل درجة امتثال أوجاهزية اعتماد.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5" hidden="0" customHeight="1">
      <x:c r="A10" s="42" t="str">
        <x:v>قاعدة التقرير</x:v>
      </x:c>
      <x:c r="B10" s="43" t="str">
        <x:v>لا ينشر التقرير قبل مراجعة واعتماد بشريين وSHA-256.</x:v>
      </x:c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5" hidden="0" customHeight="1">
      <x:c r="A11" s="42" t="str">
        <x:v>الوضع الابتدائي</x:v>
      </x:c>
      <x:c r="B11" s="43" t="str">
        <x:v>Synthetic / Draft / NO؛ لا أخضر دون بيانات مؤسسية فعلية.</x:v>
      </x:c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5" hidden="0" customHeight="1">
      <x:c r="A12" s="42" t="str">
        <x:v>الإصدار</x:v>
      </x:c>
      <x:c r="B12" s="43" t="str">
        <x:v>Sprint 13 / Full Stack v1.4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5" hidden="0" customHeight="1">
      <x:c r="A13" s="42" t="str">
        <x:v>تاريخ الإنشاء</x:v>
      </x:c>
      <x:c r="B13" s="44" t="n">
        <x:v>46235.92083333333</x:v>
      </x:c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5" hidden="0" customHeight="1">
      <x:c r="A14" s="42" t="str">
        <x:v>مسار الاستخدام</x:v>
      </x:c>
      <x:c r="B14" s="43" t="str">
        <x:v>Charter → Identity → Provenance → Session → Metrics → Adoption/Feedback → Report.</x:v>
      </x:c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5" hidden="0" customHeight="1">
      <x:c r="A15" s="42" t="str">
        <x:v>تنبيه</x:v>
      </x:c>
      <x:c r="B15" s="43" t="str">
        <x:v>نتائج القالب أوSmoke Test لا تمثل تشغيلًا مؤسسيًا لمستشفى طريف.</x:v>
      </x:c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>
      <x:c r="A1" s="40" t="str">
        <x:v>ميثاق التجربة المؤسسية</x:v>
      </x:c>
      <x:c r="B1" s="40"/>
      <x:c r="C1" s="40"/>
      <x:c r="D1" s="40"/>
      <x:c r="E1" s="40"/>
      <x:c r="F1" s="40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Field</x:v>
      </x:c>
      <x:c r="B4" s="50" t="str">
        <x:v>Value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2" t="str">
        <x:v>Pilot Code</x:v>
      </x:c>
      <x:c r="B5" s="43" t="str">
        <x:v>TGH-INST-PILOT-001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2" t="str">
        <x:v>Title</x:v>
      </x:c>
      <x:c r="B6" s="43" t="str">
        <x:v>Turaif Controlled Institutional Pilot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2" t="str">
        <x:v>Objective</x:v>
      </x:c>
      <x:c r="B7" s="43" t="str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2" t="str">
        <x:v>Run Mode</x:v>
      </x:c>
      <x:c r="B8" s="43" t="str">
        <x:v>Synthetic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2" t="str">
        <x:v>Status</x:v>
      </x:c>
      <x:c r="B9" s="43" t="str">
        <x:v>Draft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2" t="str">
        <x:v>Period Start</x:v>
      </x:c>
      <x:c r="B10" s="43" t="str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2" t="str">
        <x:v>Period End</x:v>
      </x:c>
      <x:c r="B11" s="51" t="str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2" t="str">
        <x:v>Committee Code</x:v>
      </x:c>
      <x:c r="B12" s="51" t="str">
        <x:v>TGH-IRC-001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2" t="str">
        <x:v>Environment Reference</x:v>
      </x:c>
      <x:c r="B13" s="43" t="str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2" t="str">
        <x:v>OIDC Required</x:v>
      </x:c>
      <x:c r="B14" s="52" t="b">
        <x:v>1</x:v>
      </x:c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2" t="str">
        <x:v>Institutional Data Required</x:v>
      </x:c>
      <x:c r="B15" s="52" t="b">
        <x:v>1</x:v>
      </x:c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2" t="str">
        <x:v>Activation Approved By</x:v>
      </x:c>
      <x:c r="B16" s="43" t="str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2" t="str">
        <x:v>Activation Date</x:v>
      </x:c>
      <x:c r="B17" s="43" t="str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2" t="str">
        <x:v>Activation Ready</x:v>
      </x:c>
      <x:c r="B18" s="44" t="str">
        <x:f>IF(AND(B9="Ready",B8&lt;&gt;"",B12&lt;&gt;"",B14=TRUE,B15=TRUE,B16&lt;&gt;""),"YES","NO")</x:f>
        <x:v>NO</x:v>
      </x:c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2"/>
      <x:c r="B19" s="43" t="str">
        <x:f>IF(AND(B10="Ready",B9&lt;&gt;"",B13&lt;&gt;"",B15=TRUE,B16=TRUE,B17&lt;&gt;""),"YES","NO")</x:f>
        <x:v>NO</x:v>
      </x:c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F2"/>
  </x:mergeCells>
  <x:dataValidations count="4">
    <x:dataValidation type="list" sqref="B9">
      <x:formula1>_Lists!$A$2:$A$3</x:formula1>
    </x:dataValidation>
    <x:dataValidation type="list" sqref="B10">
      <x:formula1>_Lists!$B$2:$B$7</x:formula1>
    </x:dataValidation>
    <x:dataValidation type="list" sqref="B15">
      <x:formula1>_Lists!$C$2:$C$3</x:formula1>
    </x:dataValidation>
    <x:dataValidation type="list" sqref="B16">
      <x:formula1>_Lists!$C$2:$C$3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3" max="3" width="40" hidden="0" customWidth="1"/>
    <x:col min="4" max="4" width="28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2" hidden="0" customWidth="1"/>
    <x:col min="12" max="12" width="10" hidden="0" customWidth="1"/>
    <x:col min="13" max="13" width="20" hidden="0" customWidth="1"/>
    <x:col min="14" max="14" width="12" hidden="0" customWidth="1"/>
  </x:cols>
  <x:sheetData>
    <x:row r="1">
      <x:c r="A1" s="40" t="str">
        <x:v>ربط الهوية المؤسسية - لا تخزن Subject أوToken خام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Binding Code</x:v>
      </x:c>
      <x:c r="B4" s="50" t="str">
        <x:v>Subject Hash</x:v>
      </x:c>
      <x:c r="C4" s="50" t="str">
        <x:v>Issuer</x:v>
      </x:c>
      <x:c r="D4" s="50" t="str">
        <x:v>Email Hint</x:v>
      </x:c>
      <x:c r="E4" s="50" t="str">
        <x:v>Role Codes</x:v>
      </x:c>
      <x:c r="F4" s="50" t="str">
        <x:v>Site Codes</x:v>
      </x:c>
      <x:c r="G4" s="50" t="str">
        <x:v>Authority Verified</x:v>
      </x:c>
      <x:c r="H4" s="50" t="str">
        <x:v>Training Verified</x:v>
      </x:c>
      <x:c r="I4" s="50" t="str">
        <x:v>Site Scope Verified</x:v>
      </x:c>
      <x:c r="J4" s="50" t="str">
        <x:v>Evidence Ref</x:v>
      </x:c>
      <x:c r="K4" s="50" t="str">
        <x:v>Verified</x:v>
      </x:c>
      <x:c r="L4" s="50" t="str">
        <x:v>Active</x:v>
      </x:c>
      <x:c r="M4" s="50" t="str">
        <x:v>Verified Date</x:v>
      </x:c>
      <x:c r="N4" s="50" t="str">
        <x:v>Ready Flag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/>
      <x:c r="E5" s="43"/>
      <x:c r="F5" s="43"/>
      <x:c r="G5" s="52" t="b">
        <x:v>0</x:v>
      </x:c>
      <x:c r="H5" s="52" t="b">
        <x:v>0</x:v>
      </x:c>
      <x:c r="I5" s="52" t="b">
        <x:v>0</x:v>
      </x:c>
      <x:c r="J5" s="43"/>
      <x:c r="K5" s="52" t="b">
        <x:v>0</x:v>
      </x:c>
      <x:c r="L5" s="52" t="b">
        <x:v>1</x:v>
      </x:c>
      <x:c r="M5" s="44"/>
      <x:c r="N5" s="43" t="n">
        <x:f>IF(A5="",0,IF(AND(LEN(B5)=64,C5&lt;&gt;"",E5&lt;&gt;"",F5&lt;&gt;"",G5=TRUE,H5=TRUE,I5=TRUE,J5&lt;&gt;"",K5=TRUE,L5=TRUE),1,0))</x:f>
        <x:v>0</x:v>
      </x:c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/>
      <x:c r="E6" s="43"/>
      <x:c r="F6" s="43"/>
      <x:c r="G6" s="52" t="b">
        <x:v>0</x:v>
      </x:c>
      <x:c r="H6" s="52" t="b">
        <x:v>0</x:v>
      </x:c>
      <x:c r="I6" s="52" t="b">
        <x:v>0</x:v>
      </x:c>
      <x:c r="J6" s="43"/>
      <x:c r="K6" s="52" t="b">
        <x:v>0</x:v>
      </x:c>
      <x:c r="L6" s="52" t="b">
        <x:v>1</x:v>
      </x:c>
      <x:c r="M6" s="44"/>
      <x:c r="N6" s="43" t="n">
        <x:f>IF(A6="",0,IF(AND(LEN(B6)=64,C6&lt;&gt;"",E6&lt;&gt;"",F6&lt;&gt;"",G6=TRUE,H6=TRUE,I6=TRUE,J6&lt;&gt;"",K6=TRUE,L6=TRUE),1,0))</x:f>
        <x:v>0</x:v>
      </x:c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/>
      <x:c r="E7" s="43"/>
      <x:c r="F7" s="43"/>
      <x:c r="G7" s="52" t="b">
        <x:v>0</x:v>
      </x:c>
      <x:c r="H7" s="52" t="b">
        <x:v>0</x:v>
      </x:c>
      <x:c r="I7" s="52" t="b">
        <x:v>0</x:v>
      </x:c>
      <x:c r="J7" s="43"/>
      <x:c r="K7" s="52" t="b">
        <x:v>0</x:v>
      </x:c>
      <x:c r="L7" s="52" t="b">
        <x:v>1</x:v>
      </x:c>
      <x:c r="M7" s="44"/>
      <x:c r="N7" s="43" t="n">
        <x:f>IF(A7="",0,IF(AND(LEN(B7)=64,C7&lt;&gt;"",E7&lt;&gt;"",F7&lt;&gt;"",G7=TRUE,H7=TRUE,I7=TRUE,J7&lt;&gt;"",K7=TRUE,L7=TRUE),1,0))</x:f>
        <x:v>0</x:v>
      </x:c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/>
      <x:c r="E8" s="43"/>
      <x:c r="F8" s="43"/>
      <x:c r="G8" s="52" t="b">
        <x:v>0</x:v>
      </x:c>
      <x:c r="H8" s="52" t="b">
        <x:v>0</x:v>
      </x:c>
      <x:c r="I8" s="52" t="b">
        <x:v>0</x:v>
      </x:c>
      <x:c r="J8" s="43"/>
      <x:c r="K8" s="52" t="b">
        <x:v>0</x:v>
      </x:c>
      <x:c r="L8" s="52" t="b">
        <x:v>1</x:v>
      </x:c>
      <x:c r="M8" s="44"/>
      <x:c r="N8" s="43" t="n">
        <x:f>IF(A8="",0,IF(AND(LEN(B8)=64,C8&lt;&gt;"",E8&lt;&gt;"",F8&lt;&gt;"",G8=TRUE,H8=TRUE,I8=TRUE,J8&lt;&gt;"",K8=TRUE,L8=TRUE),1,0))</x:f>
        <x:v>0</x:v>
      </x:c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/>
      <x:c r="E9" s="43"/>
      <x:c r="F9" s="43"/>
      <x:c r="G9" s="52" t="b">
        <x:v>0</x:v>
      </x:c>
      <x:c r="H9" s="52" t="b">
        <x:v>0</x:v>
      </x:c>
      <x:c r="I9" s="52" t="b">
        <x:v>0</x:v>
      </x:c>
      <x:c r="J9" s="43"/>
      <x:c r="K9" s="52" t="b">
        <x:v>0</x:v>
      </x:c>
      <x:c r="L9" s="52" t="b">
        <x:v>1</x:v>
      </x:c>
      <x:c r="M9" s="44"/>
      <x:c r="N9" s="43" t="n">
        <x:f>IF(A9="",0,IF(AND(LEN(B9)=64,C9&lt;&gt;"",E9&lt;&gt;"",F9&lt;&gt;"",G9=TRUE,H9=TRUE,I9=TRUE,J9&lt;&gt;"",K9=TRUE,L9=TRUE),1,0))</x:f>
        <x:v>0</x:v>
      </x:c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/>
      <x:c r="E10" s="43"/>
      <x:c r="F10" s="43"/>
      <x:c r="G10" s="52" t="b">
        <x:v>0</x:v>
      </x:c>
      <x:c r="H10" s="52" t="b">
        <x:v>0</x:v>
      </x:c>
      <x:c r="I10" s="52" t="b">
        <x:v>0</x:v>
      </x:c>
      <x:c r="J10" s="43"/>
      <x:c r="K10" s="52" t="b">
        <x:v>0</x:v>
      </x:c>
      <x:c r="L10" s="52" t="b">
        <x:v>1</x:v>
      </x:c>
      <x:c r="M10" s="44"/>
      <x:c r="N10" s="43" t="n">
        <x:f>IF(A10="",0,IF(AND(LEN(B10)=64,C10&lt;&gt;"",E10&lt;&gt;"",F10&lt;&gt;"",G10=TRUE,H10=TRUE,I10=TRUE,J10&lt;&gt;"",K10=TRUE,L10=TRUE),1,0))</x:f>
        <x:v>0</x:v>
      </x:c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/>
      <x:c r="E11" s="43"/>
      <x:c r="F11" s="43"/>
      <x:c r="G11" s="52" t="b">
        <x:v>0</x:v>
      </x:c>
      <x:c r="H11" s="52" t="b">
        <x:v>0</x:v>
      </x:c>
      <x:c r="I11" s="52" t="b">
        <x:v>0</x:v>
      </x:c>
      <x:c r="J11" s="43"/>
      <x:c r="K11" s="52" t="b">
        <x:v>0</x:v>
      </x:c>
      <x:c r="L11" s="52" t="b">
        <x:v>1</x:v>
      </x:c>
      <x:c r="M11" s="44"/>
      <x:c r="N11" s="43" t="n">
        <x:f>IF(A11="",0,IF(AND(LEN(B11)=64,C11&lt;&gt;"",E11&lt;&gt;"",F11&lt;&gt;"",G11=TRUE,H11=TRUE,I11=TRUE,J11&lt;&gt;"",K11=TRUE,L11=TRUE),1,0))</x:f>
        <x:v>0</x:v>
      </x:c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/>
      <x:c r="E12" s="43"/>
      <x:c r="F12" s="43"/>
      <x:c r="G12" s="52" t="b">
        <x:v>0</x:v>
      </x:c>
      <x:c r="H12" s="52" t="b">
        <x:v>0</x:v>
      </x:c>
      <x:c r="I12" s="52" t="b">
        <x:v>0</x:v>
      </x:c>
      <x:c r="J12" s="43"/>
      <x:c r="K12" s="52" t="b">
        <x:v>0</x:v>
      </x:c>
      <x:c r="L12" s="52" t="b">
        <x:v>1</x:v>
      </x:c>
      <x:c r="M12" s="44"/>
      <x:c r="N12" s="43" t="n">
        <x:f>IF(A12="",0,IF(AND(LEN(B12)=64,C12&lt;&gt;"",E12&lt;&gt;"",F12&lt;&gt;"",G12=TRUE,H12=TRUE,I12=TRUE,J12&lt;&gt;"",K12=TRUE,L12=TRUE),1,0))</x:f>
        <x:v>0</x:v>
      </x:c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/>
      <x:c r="E13" s="43"/>
      <x:c r="F13" s="43"/>
      <x:c r="G13" s="52" t="b">
        <x:v>0</x:v>
      </x:c>
      <x:c r="H13" s="52" t="b">
        <x:v>0</x:v>
      </x:c>
      <x:c r="I13" s="52" t="b">
        <x:v>0</x:v>
      </x:c>
      <x:c r="J13" s="43"/>
      <x:c r="K13" s="52" t="b">
        <x:v>0</x:v>
      </x:c>
      <x:c r="L13" s="52" t="b">
        <x:v>1</x:v>
      </x:c>
      <x:c r="M13" s="44"/>
      <x:c r="N13" s="43" t="n">
        <x:f>IF(A13="",0,IF(AND(LEN(B13)=64,C13&lt;&gt;"",E13&lt;&gt;"",F13&lt;&gt;"",G13=TRUE,H13=TRUE,I13=TRUE,J13&lt;&gt;"",K13=TRUE,L13=TRUE),1,0))</x:f>
        <x:v>0</x:v>
      </x:c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/>
      <x:c r="E14" s="43"/>
      <x:c r="F14" s="43"/>
      <x:c r="G14" s="52" t="b">
        <x:v>0</x:v>
      </x:c>
      <x:c r="H14" s="52" t="b">
        <x:v>0</x:v>
      </x:c>
      <x:c r="I14" s="52" t="b">
        <x:v>0</x:v>
      </x:c>
      <x:c r="J14" s="43"/>
      <x:c r="K14" s="52" t="b">
        <x:v>0</x:v>
      </x:c>
      <x:c r="L14" s="52" t="b">
        <x:v>1</x:v>
      </x:c>
      <x:c r="M14" s="44"/>
      <x:c r="N14" s="43" t="n">
        <x:f>IF(A14="",0,IF(AND(LEN(B14)=64,C14&lt;&gt;"",E14&lt;&gt;"",F14&lt;&gt;"",G14=TRUE,H14=TRUE,I14=TRUE,J14&lt;&gt;"",K14=TRUE,L14=TRUE),1,0))</x:f>
        <x:v>0</x:v>
      </x:c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3"/>
      <x:c r="D15" s="43"/>
      <x:c r="E15" s="43"/>
      <x:c r="F15" s="43"/>
      <x:c r="G15" s="52" t="b">
        <x:v>0</x:v>
      </x:c>
      <x:c r="H15" s="52" t="b">
        <x:v>0</x:v>
      </x:c>
      <x:c r="I15" s="52" t="b">
        <x:v>0</x:v>
      </x:c>
      <x:c r="J15" s="43"/>
      <x:c r="K15" s="52" t="b">
        <x:v>0</x:v>
      </x:c>
      <x:c r="L15" s="52" t="b">
        <x:v>1</x:v>
      </x:c>
      <x:c r="M15" s="44"/>
      <x:c r="N15" s="43" t="n">
        <x:f>IF(A15="",0,IF(AND(LEN(B15)=64,C15&lt;&gt;"",E15&lt;&gt;"",F15&lt;&gt;"",G15=TRUE,H15=TRUE,I15=TRUE,J15&lt;&gt;"",K15=TRUE,L15=TRUE),1,0))</x:f>
        <x:v>0</x:v>
      </x:c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3"/>
      <x:c r="D16" s="43"/>
      <x:c r="E16" s="43"/>
      <x:c r="F16" s="43"/>
      <x:c r="G16" s="52" t="b">
        <x:v>0</x:v>
      </x:c>
      <x:c r="H16" s="52" t="b">
        <x:v>0</x:v>
      </x:c>
      <x:c r="I16" s="52" t="b">
        <x:v>0</x:v>
      </x:c>
      <x:c r="J16" s="43"/>
      <x:c r="K16" s="52" t="b">
        <x:v>0</x:v>
      </x:c>
      <x:c r="L16" s="52" t="b">
        <x:v>1</x:v>
      </x:c>
      <x:c r="M16" s="44"/>
      <x:c r="N16" s="43" t="n">
        <x:f>IF(A16="",0,IF(AND(LEN(B16)=64,C16&lt;&gt;"",E16&lt;&gt;"",F16&lt;&gt;"",G16=TRUE,H16=TRUE,I16=TRUE,J16&lt;&gt;"",K16=TRUE,L16=TRUE),1,0))</x:f>
        <x:v>0</x:v>
      </x:c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3"/>
      <x:c r="D17" s="43"/>
      <x:c r="E17" s="43"/>
      <x:c r="F17" s="43"/>
      <x:c r="G17" s="52" t="b">
        <x:v>0</x:v>
      </x:c>
      <x:c r="H17" s="52" t="b">
        <x:v>0</x:v>
      </x:c>
      <x:c r="I17" s="52" t="b">
        <x:v>0</x:v>
      </x:c>
      <x:c r="J17" s="43"/>
      <x:c r="K17" s="52" t="b">
        <x:v>0</x:v>
      </x:c>
      <x:c r="L17" s="52" t="b">
        <x:v>1</x:v>
      </x:c>
      <x:c r="M17" s="44"/>
      <x:c r="N17" s="43" t="n">
        <x:f>IF(A17="",0,IF(AND(LEN(B17)=64,C17&lt;&gt;"",E17&lt;&gt;"",F17&lt;&gt;"",G17=TRUE,H17=TRUE,I17=TRUE,J17&lt;&gt;"",K17=TRUE,L17=TRUE),1,0))</x:f>
        <x:v>0</x:v>
      </x:c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3"/>
      <x:c r="D18" s="43"/>
      <x:c r="E18" s="43"/>
      <x:c r="F18" s="43"/>
      <x:c r="G18" s="52" t="b">
        <x:v>0</x:v>
      </x:c>
      <x:c r="H18" s="52" t="b">
        <x:v>0</x:v>
      </x:c>
      <x:c r="I18" s="52" t="b">
        <x:v>0</x:v>
      </x:c>
      <x:c r="J18" s="43"/>
      <x:c r="K18" s="52" t="b">
        <x:v>0</x:v>
      </x:c>
      <x:c r="L18" s="52" t="b">
        <x:v>1</x:v>
      </x:c>
      <x:c r="M18" s="44"/>
      <x:c r="N18" s="43" t="n">
        <x:f>IF(A18="",0,IF(AND(LEN(B18)=64,C18&lt;&gt;"",E18&lt;&gt;"",F18&lt;&gt;"",G18=TRUE,H18=TRUE,I18=TRUE,J18&lt;&gt;"",K18=TRUE,L18=TRUE),1,0))</x:f>
        <x:v>0</x:v>
      </x:c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3"/>
      <x:c r="D19" s="43"/>
      <x:c r="E19" s="43"/>
      <x:c r="F19" s="43"/>
      <x:c r="G19" s="52" t="b">
        <x:v>0</x:v>
      </x:c>
      <x:c r="H19" s="52" t="b">
        <x:v>0</x:v>
      </x:c>
      <x:c r="I19" s="52" t="b">
        <x:v>0</x:v>
      </x:c>
      <x:c r="J19" s="43"/>
      <x:c r="K19" s="52" t="b">
        <x:v>0</x:v>
      </x:c>
      <x:c r="L19" s="52" t="b">
        <x:v>1</x:v>
      </x:c>
      <x:c r="M19" s="44"/>
      <x:c r="N19" s="43" t="n">
        <x:f>IF(A19="",0,IF(AND(LEN(B19)=64,C19&lt;&gt;"",E19&lt;&gt;"",F19&lt;&gt;"",G19=TRUE,H19=TRUE,I19=TRUE,J19&lt;&gt;"",K19=TRUE,L19=TRUE),1,0))</x:f>
        <x:v>0</x:v>
      </x:c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3"/>
      <x:c r="D20" s="43"/>
      <x:c r="E20" s="43"/>
      <x:c r="F20" s="43"/>
      <x:c r="G20" s="52" t="b">
        <x:v>0</x:v>
      </x:c>
      <x:c r="H20" s="52" t="b">
        <x:v>0</x:v>
      </x:c>
      <x:c r="I20" s="52" t="b">
        <x:v>0</x:v>
      </x:c>
      <x:c r="J20" s="43"/>
      <x:c r="K20" s="52" t="b">
        <x:v>0</x:v>
      </x:c>
      <x:c r="L20" s="52" t="b">
        <x:v>1</x:v>
      </x:c>
      <x:c r="M20" s="44"/>
      <x:c r="N20" s="43" t="n">
        <x:f>IF(A20="",0,IF(AND(LEN(B20)=64,C20&lt;&gt;"",E20&lt;&gt;"",F20&lt;&gt;"",G20=TRUE,H20=TRUE,I20=TRUE,J20&lt;&gt;"",K20=TRUE,L20=TRUE),1,0))</x:f>
        <x:v>0</x:v>
      </x:c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3"/>
      <x:c r="D21" s="43"/>
      <x:c r="E21" s="43"/>
      <x:c r="F21" s="43"/>
      <x:c r="G21" s="52" t="b">
        <x:v>0</x:v>
      </x:c>
      <x:c r="H21" s="52" t="b">
        <x:v>0</x:v>
      </x:c>
      <x:c r="I21" s="52" t="b">
        <x:v>0</x:v>
      </x:c>
      <x:c r="J21" s="43"/>
      <x:c r="K21" s="52" t="b">
        <x:v>0</x:v>
      </x:c>
      <x:c r="L21" s="52" t="b">
        <x:v>1</x:v>
      </x:c>
      <x:c r="M21" s="44"/>
      <x:c r="N21" s="43" t="n">
        <x:f>IF(A21="",0,IF(AND(LEN(B21)=64,C21&lt;&gt;"",E21&lt;&gt;"",F21&lt;&gt;"",G21=TRUE,H21=TRUE,I21=TRUE,J21&lt;&gt;"",K21=TRUE,L21=TRUE),1,0))</x:f>
        <x:v>0</x:v>
      </x:c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3"/>
      <x:c r="D22" s="43"/>
      <x:c r="E22" s="43"/>
      <x:c r="F22" s="43"/>
      <x:c r="G22" s="52" t="b">
        <x:v>0</x:v>
      </x:c>
      <x:c r="H22" s="52" t="b">
        <x:v>0</x:v>
      </x:c>
      <x:c r="I22" s="52" t="b">
        <x:v>0</x:v>
      </x:c>
      <x:c r="J22" s="43"/>
      <x:c r="K22" s="52" t="b">
        <x:v>0</x:v>
      </x:c>
      <x:c r="L22" s="52" t="b">
        <x:v>1</x:v>
      </x:c>
      <x:c r="M22" s="44"/>
      <x:c r="N22" s="43" t="n">
        <x:f>IF(A22="",0,IF(AND(LEN(B22)=64,C22&lt;&gt;"",E22&lt;&gt;"",F22&lt;&gt;"",G22=TRUE,H22=TRUE,I22=TRUE,J22&lt;&gt;"",K22=TRUE,L22=TRUE),1,0))</x:f>
        <x:v>0</x:v>
      </x:c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3"/>
      <x:c r="D23" s="43"/>
      <x:c r="E23" s="43"/>
      <x:c r="F23" s="43"/>
      <x:c r="G23" s="52" t="b">
        <x:v>0</x:v>
      </x:c>
      <x:c r="H23" s="52" t="b">
        <x:v>0</x:v>
      </x:c>
      <x:c r="I23" s="52" t="b">
        <x:v>0</x:v>
      </x:c>
      <x:c r="J23" s="43"/>
      <x:c r="K23" s="52" t="b">
        <x:v>0</x:v>
      </x:c>
      <x:c r="L23" s="52" t="b">
        <x:v>1</x:v>
      </x:c>
      <x:c r="M23" s="44"/>
      <x:c r="N23" s="43" t="n">
        <x:f>IF(A23="",0,IF(AND(LEN(B23)=64,C23&lt;&gt;"",E23&lt;&gt;"",F23&lt;&gt;"",G23=TRUE,H23=TRUE,I23=TRUE,J23&lt;&gt;"",K23=TRUE,L23=TRUE),1,0))</x:f>
        <x:v>0</x:v>
      </x:c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3"/>
      <x:c r="D24" s="43"/>
      <x:c r="E24" s="43"/>
      <x:c r="F24" s="43"/>
      <x:c r="G24" s="52" t="b">
        <x:v>0</x:v>
      </x:c>
      <x:c r="H24" s="52" t="b">
        <x:v>0</x:v>
      </x:c>
      <x:c r="I24" s="52" t="b">
        <x:v>0</x:v>
      </x:c>
      <x:c r="J24" s="43"/>
      <x:c r="K24" s="52" t="b">
        <x:v>0</x:v>
      </x:c>
      <x:c r="L24" s="52" t="b">
        <x:v>1</x:v>
      </x:c>
      <x:c r="M24" s="44"/>
      <x:c r="N24" s="43" t="n">
        <x:f>IF(A24="",0,IF(AND(LEN(B24)=64,C24&lt;&gt;"",E24&lt;&gt;"",F24&lt;&gt;"",G24=TRUE,H24=TRUE,I24=TRUE,J24&lt;&gt;"",K24=TRUE,L24=TRUE),1,0))</x:f>
        <x:v>0</x:v>
      </x:c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N2"/>
  </x:mergeCells>
  <x:dataValidations count="5">
    <x:dataValidation type="list" sqref="G5:G24">
      <x:formula1>_Lists!$C$2:$C$3</x:formula1>
    </x:dataValidation>
    <x:dataValidation type="list" sqref="H5:H24">
      <x:formula1>_Lists!$C$2:$C$3</x:formula1>
    </x:dataValidation>
    <x:dataValidation type="list" sqref="I5:I24">
      <x:formula1>_Lists!$C$2:$C$3</x:formula1>
    </x:dataValidation>
    <x:dataValidation type="list" sqref="K5:K24">
      <x:formula1>_Lists!$C$2:$C$3</x:formula1>
    </x:dataValidation>
    <x:dataValidation type="list" sqref="L5:L24">
      <x:formula1>_Lists!$C$2:$C$3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faab32db1c43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2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2" hidden="0" customWidth="1"/>
    <x:col min="10" max="10" width="68" hidden="0" customWidth="1"/>
    <x:col min="11" max="11" width="30" hidden="0" customWidth="1"/>
    <x:col min="12" max="12" width="12" hidden="0" customWidth="1"/>
    <x:col min="13" max="13" width="24" hidden="0" customWidth="1"/>
    <x:col min="14" max="14" width="12" hidden="0" customWidth="1"/>
  </x:cols>
  <x:sheetData>
    <x:row r="1">
      <x:c r="A1" s="40" t="str">
        <x:v>إقرارات مصادر البيانات والخصوصية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Source Code</x:v>
      </x:c>
      <x:c r="B4" s="50" t="str">
        <x:v>Source System</x:v>
      </x:c>
      <x:c r="C4" s="50" t="str">
        <x:v>Source Type</x:v>
      </x:c>
      <x:c r="D4" s="50" t="str">
        <x:v>Classification</x:v>
      </x:c>
      <x:c r="E4" s="50" t="str">
        <x:v>Period Start</x:v>
      </x:c>
      <x:c r="F4" s="50" t="str">
        <x:v>Period End</x:v>
      </x:c>
      <x:c r="G4" s="50" t="str">
        <x:v>Record Count</x:v>
      </x:c>
      <x:c r="H4" s="50" t="str">
        <x:v>Contains Patient IDs</x:v>
      </x:c>
      <x:c r="I4" s="50" t="str">
        <x:v>Deidentified/Tokenized</x:v>
      </x:c>
      <x:c r="J4" s="50" t="str">
        <x:v>SHA-256</x:v>
      </x:c>
      <x:c r="K4" s="50" t="str">
        <x:v>Evidence Ref</x:v>
      </x:c>
      <x:c r="L4" s="50" t="str">
        <x:v>Attested</x:v>
      </x:c>
      <x:c r="M4" s="50" t="str">
        <x:v>Attested By</x:v>
      </x:c>
      <x:c r="N4" s="50" t="str">
        <x:v>Ready Flag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 t="str">
        <x:v>Synthetic</x:v>
      </x:c>
      <x:c r="E5" s="51"/>
      <x:c r="F5" s="51"/>
      <x:c r="G5" s="43" t="n">
        <x:v>0</x:v>
      </x:c>
      <x:c r="H5" s="52" t="b">
        <x:v>0</x:v>
      </x:c>
      <x:c r="I5" s="52" t="b">
        <x:v>1</x:v>
      </x:c>
      <x:c r="J5" s="43"/>
      <x:c r="K5" s="43"/>
      <x:c r="L5" s="52" t="b">
        <x:v>0</x:v>
      </x:c>
      <x:c r="M5" s="43"/>
      <x:c r="N5" s="43" t="n">
        <x:f>IF(A5="",0,IF(AND(B5&lt;&gt;"",C5&lt;&gt;"",D5&lt;&gt;"",G5&gt;=0,H5=FALSE,I5=TRUE,LEN(J5)=64,K5&lt;&gt;"",L5=TRUE,M5&lt;&gt;""),1,0))</x:f>
        <x:v>0</x:v>
      </x:c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 t="str">
        <x:v>Synthetic</x:v>
      </x:c>
      <x:c r="E6" s="51"/>
      <x:c r="F6" s="51"/>
      <x:c r="G6" s="43" t="n">
        <x:v>0</x:v>
      </x:c>
      <x:c r="H6" s="52" t="b">
        <x:v>0</x:v>
      </x:c>
      <x:c r="I6" s="52" t="b">
        <x:v>1</x:v>
      </x:c>
      <x:c r="J6" s="43"/>
      <x:c r="K6" s="43"/>
      <x:c r="L6" s="52" t="b">
        <x:v>0</x:v>
      </x:c>
      <x:c r="M6" s="43"/>
      <x:c r="N6" s="43" t="n">
        <x:f>IF(A6="",0,IF(AND(B6&lt;&gt;"",C6&lt;&gt;"",D6&lt;&gt;"",G6&gt;=0,H6=FALSE,I6=TRUE,LEN(J6)=64,K6&lt;&gt;"",L6=TRUE,M6&lt;&gt;""),1,0))</x:f>
        <x:v>0</x:v>
      </x:c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 t="str">
        <x:v>Synthetic</x:v>
      </x:c>
      <x:c r="E7" s="51"/>
      <x:c r="F7" s="51"/>
      <x:c r="G7" s="43" t="n">
        <x:v>0</x:v>
      </x:c>
      <x:c r="H7" s="52" t="b">
        <x:v>0</x:v>
      </x:c>
      <x:c r="I7" s="52" t="b">
        <x:v>1</x:v>
      </x:c>
      <x:c r="J7" s="43"/>
      <x:c r="K7" s="43"/>
      <x:c r="L7" s="52" t="b">
        <x:v>0</x:v>
      </x:c>
      <x:c r="M7" s="43"/>
      <x:c r="N7" s="43" t="n">
        <x:f>IF(A7="",0,IF(AND(B7&lt;&gt;"",C7&lt;&gt;"",D7&lt;&gt;"",G7&gt;=0,H7=FALSE,I7=TRUE,LEN(J7)=64,K7&lt;&gt;"",L7=TRUE,M7&lt;&gt;""),1,0))</x:f>
        <x:v>0</x:v>
      </x:c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 t="str">
        <x:v>Synthetic</x:v>
      </x:c>
      <x:c r="E8" s="51"/>
      <x:c r="F8" s="51"/>
      <x:c r="G8" s="43" t="n">
        <x:v>0</x:v>
      </x:c>
      <x:c r="H8" s="52" t="b">
        <x:v>0</x:v>
      </x:c>
      <x:c r="I8" s="52" t="b">
        <x:v>1</x:v>
      </x:c>
      <x:c r="J8" s="43"/>
      <x:c r="K8" s="43"/>
      <x:c r="L8" s="52" t="b">
        <x:v>0</x:v>
      </x:c>
      <x:c r="M8" s="43"/>
      <x:c r="N8" s="43" t="n">
        <x:f>IF(A8="",0,IF(AND(B8&lt;&gt;"",C8&lt;&gt;"",D8&lt;&gt;"",G8&gt;=0,H8=FALSE,I8=TRUE,LEN(J8)=64,K8&lt;&gt;"",L8=TRUE,M8&lt;&gt;""),1,0))</x:f>
        <x:v>0</x:v>
      </x:c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 t="str">
        <x:v>Synthetic</x:v>
      </x:c>
      <x:c r="E9" s="51"/>
      <x:c r="F9" s="51"/>
      <x:c r="G9" s="43" t="n">
        <x:v>0</x:v>
      </x:c>
      <x:c r="H9" s="52" t="b">
        <x:v>0</x:v>
      </x:c>
      <x:c r="I9" s="52" t="b">
        <x:v>1</x:v>
      </x:c>
      <x:c r="J9" s="43"/>
      <x:c r="K9" s="43"/>
      <x:c r="L9" s="52" t="b">
        <x:v>0</x:v>
      </x:c>
      <x:c r="M9" s="43"/>
      <x:c r="N9" s="43" t="n">
        <x:f>IF(A9="",0,IF(AND(B9&lt;&gt;"",C9&lt;&gt;"",D9&lt;&gt;"",G9&gt;=0,H9=FALSE,I9=TRUE,LEN(J9)=64,K9&lt;&gt;"",L9=TRUE,M9&lt;&gt;""),1,0))</x:f>
        <x:v>0</x:v>
      </x:c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 t="str">
        <x:v>Synthetic</x:v>
      </x:c>
      <x:c r="E10" s="51"/>
      <x:c r="F10" s="51"/>
      <x:c r="G10" s="43" t="n">
        <x:v>0</x:v>
      </x:c>
      <x:c r="H10" s="52" t="b">
        <x:v>0</x:v>
      </x:c>
      <x:c r="I10" s="52" t="b">
        <x:v>1</x:v>
      </x:c>
      <x:c r="J10" s="43"/>
      <x:c r="K10" s="43"/>
      <x:c r="L10" s="52" t="b">
        <x:v>0</x:v>
      </x:c>
      <x:c r="M10" s="43"/>
      <x:c r="N10" s="43" t="n">
        <x:f>IF(A10="",0,IF(AND(B10&lt;&gt;"",C10&lt;&gt;"",D10&lt;&gt;"",G10&gt;=0,H10=FALSE,I10=TRUE,LEN(J10)=64,K10&lt;&gt;"",L10=TRUE,M10&lt;&gt;""),1,0))</x:f>
        <x:v>0</x:v>
      </x:c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 t="str">
        <x:v>Synthetic</x:v>
      </x:c>
      <x:c r="E11" s="51"/>
      <x:c r="F11" s="51"/>
      <x:c r="G11" s="43" t="n">
        <x:v>0</x:v>
      </x:c>
      <x:c r="H11" s="52" t="b">
        <x:v>0</x:v>
      </x:c>
      <x:c r="I11" s="52" t="b">
        <x:v>1</x:v>
      </x:c>
      <x:c r="J11" s="43"/>
      <x:c r="K11" s="43"/>
      <x:c r="L11" s="52" t="b">
        <x:v>0</x:v>
      </x:c>
      <x:c r="M11" s="43"/>
      <x:c r="N11" s="43" t="n">
        <x:f>IF(A11="",0,IF(AND(B11&lt;&gt;"",C11&lt;&gt;"",D11&lt;&gt;"",G11&gt;=0,H11=FALSE,I11=TRUE,LEN(J11)=64,K11&lt;&gt;"",L11=TRUE,M11&lt;&gt;""),1,0))</x:f>
        <x:v>0</x:v>
      </x:c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 t="str">
        <x:v>Synthetic</x:v>
      </x:c>
      <x:c r="E12" s="51"/>
      <x:c r="F12" s="51"/>
      <x:c r="G12" s="43" t="n">
        <x:v>0</x:v>
      </x:c>
      <x:c r="H12" s="52" t="b">
        <x:v>0</x:v>
      </x:c>
      <x:c r="I12" s="52" t="b">
        <x:v>1</x:v>
      </x:c>
      <x:c r="J12" s="43"/>
      <x:c r="K12" s="43"/>
      <x:c r="L12" s="52" t="b">
        <x:v>0</x:v>
      </x:c>
      <x:c r="M12" s="43"/>
      <x:c r="N12" s="43" t="n">
        <x:f>IF(A12="",0,IF(AND(B12&lt;&gt;"",C12&lt;&gt;"",D12&lt;&gt;"",G12&gt;=0,H12=FALSE,I12=TRUE,LEN(J12)=64,K12&lt;&gt;"",L12=TRUE,M12&lt;&gt;""),1,0))</x:f>
        <x:v>0</x:v>
      </x:c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 t="str">
        <x:v>Synthetic</x:v>
      </x:c>
      <x:c r="E13" s="51"/>
      <x:c r="F13" s="51"/>
      <x:c r="G13" s="43" t="n">
        <x:v>0</x:v>
      </x:c>
      <x:c r="H13" s="52" t="b">
        <x:v>0</x:v>
      </x:c>
      <x:c r="I13" s="52" t="b">
        <x:v>1</x:v>
      </x:c>
      <x:c r="J13" s="43"/>
      <x:c r="K13" s="43"/>
      <x:c r="L13" s="52" t="b">
        <x:v>0</x:v>
      </x:c>
      <x:c r="M13" s="43"/>
      <x:c r="N13" s="43" t="n">
        <x:f>IF(A13="",0,IF(AND(B13&lt;&gt;"",C13&lt;&gt;"",D13&lt;&gt;"",G13&gt;=0,H13=FALSE,I13=TRUE,LEN(J13)=64,K13&lt;&gt;"",L13=TRUE,M13&lt;&gt;""),1,0))</x:f>
        <x:v>0</x:v>
      </x:c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 t="str">
        <x:v>Synthetic</x:v>
      </x:c>
      <x:c r="E14" s="51"/>
      <x:c r="F14" s="51"/>
      <x:c r="G14" s="43" t="n">
        <x:v>0</x:v>
      </x:c>
      <x:c r="H14" s="52" t="b">
        <x:v>0</x:v>
      </x:c>
      <x:c r="I14" s="52" t="b">
        <x:v>1</x:v>
      </x:c>
      <x:c r="J14" s="43"/>
      <x:c r="K14" s="43"/>
      <x:c r="L14" s="52" t="b">
        <x:v>0</x:v>
      </x:c>
      <x:c r="M14" s="43"/>
      <x:c r="N14" s="43" t="n">
        <x:f>IF(A14="",0,IF(AND(B14&lt;&gt;"",C14&lt;&gt;"",D14&lt;&gt;"",G14&gt;=0,H14=FALSE,I14=TRUE,LEN(J14)=64,K14&lt;&gt;"",L14=TRUE,M14&lt;&gt;""),1,0))</x:f>
        <x:v>0</x:v>
      </x:c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3"/>
      <x:c r="D15" s="43" t="str">
        <x:v>Synthetic</x:v>
      </x:c>
      <x:c r="E15" s="51"/>
      <x:c r="F15" s="51"/>
      <x:c r="G15" s="43" t="n">
        <x:v>0</x:v>
      </x:c>
      <x:c r="H15" s="52" t="b">
        <x:v>0</x:v>
      </x:c>
      <x:c r="I15" s="52" t="b">
        <x:v>1</x:v>
      </x:c>
      <x:c r="J15" s="43"/>
      <x:c r="K15" s="43"/>
      <x:c r="L15" s="52" t="b">
        <x:v>0</x:v>
      </x:c>
      <x:c r="M15" s="43"/>
      <x:c r="N15" s="43" t="n">
        <x:f>IF(A15="",0,IF(AND(B15&lt;&gt;"",C15&lt;&gt;"",D15&lt;&gt;"",G15&gt;=0,H15=FALSE,I15=TRUE,LEN(J15)=64,K15&lt;&gt;"",L15=TRUE,M15&lt;&gt;""),1,0))</x:f>
        <x:v>0</x:v>
      </x:c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3"/>
      <x:c r="D16" s="43" t="str">
        <x:v>Synthetic</x:v>
      </x:c>
      <x:c r="E16" s="51"/>
      <x:c r="F16" s="51"/>
      <x:c r="G16" s="43" t="n">
        <x:v>0</x:v>
      </x:c>
      <x:c r="H16" s="52" t="b">
        <x:v>0</x:v>
      </x:c>
      <x:c r="I16" s="52" t="b">
        <x:v>1</x:v>
      </x:c>
      <x:c r="J16" s="43"/>
      <x:c r="K16" s="43"/>
      <x:c r="L16" s="52" t="b">
        <x:v>0</x:v>
      </x:c>
      <x:c r="M16" s="43"/>
      <x:c r="N16" s="43" t="n">
        <x:f>IF(A16="",0,IF(AND(B16&lt;&gt;"",C16&lt;&gt;"",D16&lt;&gt;"",G16&gt;=0,H16=FALSE,I16=TRUE,LEN(J16)=64,K16&lt;&gt;"",L16=TRUE,M16&lt;&gt;""),1,0))</x:f>
        <x:v>0</x:v>
      </x:c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3"/>
      <x:c r="D17" s="43" t="str">
        <x:v>Synthetic</x:v>
      </x:c>
      <x:c r="E17" s="51"/>
      <x:c r="F17" s="51"/>
      <x:c r="G17" s="43" t="n">
        <x:v>0</x:v>
      </x:c>
      <x:c r="H17" s="52" t="b">
        <x:v>0</x:v>
      </x:c>
      <x:c r="I17" s="52" t="b">
        <x:v>1</x:v>
      </x:c>
      <x:c r="J17" s="43"/>
      <x:c r="K17" s="43"/>
      <x:c r="L17" s="52" t="b">
        <x:v>0</x:v>
      </x:c>
      <x:c r="M17" s="43"/>
      <x:c r="N17" s="43" t="n">
        <x:f>IF(A17="",0,IF(AND(B17&lt;&gt;"",C17&lt;&gt;"",D17&lt;&gt;"",G17&gt;=0,H17=FALSE,I17=TRUE,LEN(J17)=64,K17&lt;&gt;"",L17=TRUE,M17&lt;&gt;""),1,0))</x:f>
        <x:v>0</x:v>
      </x:c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3"/>
      <x:c r="D18" s="43" t="str">
        <x:v>Synthetic</x:v>
      </x:c>
      <x:c r="E18" s="51"/>
      <x:c r="F18" s="51"/>
      <x:c r="G18" s="43" t="n">
        <x:v>0</x:v>
      </x:c>
      <x:c r="H18" s="52" t="b">
        <x:v>0</x:v>
      </x:c>
      <x:c r="I18" s="52" t="b">
        <x:v>1</x:v>
      </x:c>
      <x:c r="J18" s="43"/>
      <x:c r="K18" s="43"/>
      <x:c r="L18" s="52" t="b">
        <x:v>0</x:v>
      </x:c>
      <x:c r="M18" s="43"/>
      <x:c r="N18" s="43" t="n">
        <x:f>IF(A18="",0,IF(AND(B18&lt;&gt;"",C18&lt;&gt;"",D18&lt;&gt;"",G18&gt;=0,H18=FALSE,I18=TRUE,LEN(J18)=64,K18&lt;&gt;"",L18=TRUE,M18&lt;&gt;""),1,0))</x:f>
        <x:v>0</x:v>
      </x:c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3"/>
      <x:c r="D19" s="43" t="str">
        <x:v>Synthetic</x:v>
      </x:c>
      <x:c r="E19" s="51"/>
      <x:c r="F19" s="51"/>
      <x:c r="G19" s="43" t="n">
        <x:v>0</x:v>
      </x:c>
      <x:c r="H19" s="52" t="b">
        <x:v>0</x:v>
      </x:c>
      <x:c r="I19" s="52" t="b">
        <x:v>1</x:v>
      </x:c>
      <x:c r="J19" s="43"/>
      <x:c r="K19" s="43"/>
      <x:c r="L19" s="52" t="b">
        <x:v>0</x:v>
      </x:c>
      <x:c r="M19" s="43"/>
      <x:c r="N19" s="43" t="n">
        <x:f>IF(A19="",0,IF(AND(B19&lt;&gt;"",C19&lt;&gt;"",D19&lt;&gt;"",G19&gt;=0,H19=FALSE,I19=TRUE,LEN(J19)=64,K19&lt;&gt;"",L19=TRUE,M19&lt;&gt;""),1,0))</x:f>
        <x:v>0</x:v>
      </x:c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3"/>
      <x:c r="D20" s="43" t="str">
        <x:v>Synthetic</x:v>
      </x:c>
      <x:c r="E20" s="51"/>
      <x:c r="F20" s="51"/>
      <x:c r="G20" s="43" t="n">
        <x:v>0</x:v>
      </x:c>
      <x:c r="H20" s="52" t="b">
        <x:v>0</x:v>
      </x:c>
      <x:c r="I20" s="52" t="b">
        <x:v>1</x:v>
      </x:c>
      <x:c r="J20" s="43"/>
      <x:c r="K20" s="43"/>
      <x:c r="L20" s="52" t="b">
        <x:v>0</x:v>
      </x:c>
      <x:c r="M20" s="43"/>
      <x:c r="N20" s="43" t="n">
        <x:f>IF(A20="",0,IF(AND(B20&lt;&gt;"",C20&lt;&gt;"",D20&lt;&gt;"",G20&gt;=0,H20=FALSE,I20=TRUE,LEN(J20)=64,K20&lt;&gt;"",L20=TRUE,M20&lt;&gt;""),1,0))</x:f>
        <x:v>0</x:v>
      </x:c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3"/>
      <x:c r="D21" s="43" t="str">
        <x:v>Synthetic</x:v>
      </x:c>
      <x:c r="E21" s="51"/>
      <x:c r="F21" s="51"/>
      <x:c r="G21" s="43" t="n">
        <x:v>0</x:v>
      </x:c>
      <x:c r="H21" s="52" t="b">
        <x:v>0</x:v>
      </x:c>
      <x:c r="I21" s="52" t="b">
        <x:v>1</x:v>
      </x:c>
      <x:c r="J21" s="43"/>
      <x:c r="K21" s="43"/>
      <x:c r="L21" s="52" t="b">
        <x:v>0</x:v>
      </x:c>
      <x:c r="M21" s="43"/>
      <x:c r="N21" s="43" t="n">
        <x:f>IF(A21="",0,IF(AND(B21&lt;&gt;"",C21&lt;&gt;"",D21&lt;&gt;"",G21&gt;=0,H21=FALSE,I21=TRUE,LEN(J21)=64,K21&lt;&gt;"",L21=TRUE,M21&lt;&gt;""),1,0))</x:f>
        <x:v>0</x:v>
      </x:c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3"/>
      <x:c r="D22" s="43" t="str">
        <x:v>Synthetic</x:v>
      </x:c>
      <x:c r="E22" s="51"/>
      <x:c r="F22" s="51"/>
      <x:c r="G22" s="43" t="n">
        <x:v>0</x:v>
      </x:c>
      <x:c r="H22" s="52" t="b">
        <x:v>0</x:v>
      </x:c>
      <x:c r="I22" s="52" t="b">
        <x:v>1</x:v>
      </x:c>
      <x:c r="J22" s="43"/>
      <x:c r="K22" s="43"/>
      <x:c r="L22" s="52" t="b">
        <x:v>0</x:v>
      </x:c>
      <x:c r="M22" s="43"/>
      <x:c r="N22" s="43" t="n">
        <x:f>IF(A22="",0,IF(AND(B22&lt;&gt;"",C22&lt;&gt;"",D22&lt;&gt;"",G22&gt;=0,H22=FALSE,I22=TRUE,LEN(J22)=64,K22&lt;&gt;"",L22=TRUE,M22&lt;&gt;""),1,0))</x:f>
        <x:v>0</x:v>
      </x:c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3"/>
      <x:c r="D23" s="43" t="str">
        <x:v>Synthetic</x:v>
      </x:c>
      <x:c r="E23" s="51"/>
      <x:c r="F23" s="51"/>
      <x:c r="G23" s="43" t="n">
        <x:v>0</x:v>
      </x:c>
      <x:c r="H23" s="52" t="b">
        <x:v>0</x:v>
      </x:c>
      <x:c r="I23" s="52" t="b">
        <x:v>1</x:v>
      </x:c>
      <x:c r="J23" s="43"/>
      <x:c r="K23" s="43"/>
      <x:c r="L23" s="52" t="b">
        <x:v>0</x:v>
      </x:c>
      <x:c r="M23" s="43"/>
      <x:c r="N23" s="43" t="n">
        <x:f>IF(A23="",0,IF(AND(B23&lt;&gt;"",C23&lt;&gt;"",D23&lt;&gt;"",G23&gt;=0,H23=FALSE,I23=TRUE,LEN(J23)=64,K23&lt;&gt;"",L23=TRUE,M23&lt;&gt;""),1,0))</x:f>
        <x:v>0</x:v>
      </x:c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3"/>
      <x:c r="D24" s="43" t="str">
        <x:v>Synthetic</x:v>
      </x:c>
      <x:c r="E24" s="51"/>
      <x:c r="F24" s="51"/>
      <x:c r="G24" s="43" t="n">
        <x:v>0</x:v>
      </x:c>
      <x:c r="H24" s="52" t="b">
        <x:v>0</x:v>
      </x:c>
      <x:c r="I24" s="52" t="b">
        <x:v>1</x:v>
      </x:c>
      <x:c r="J24" s="43"/>
      <x:c r="K24" s="43"/>
      <x:c r="L24" s="52" t="b">
        <x:v>0</x:v>
      </x:c>
      <x:c r="M24" s="43"/>
      <x:c r="N24" s="43" t="n">
        <x:f>IF(A24="",0,IF(AND(B24&lt;&gt;"",C24&lt;&gt;"",D24&lt;&gt;"",G24&gt;=0,H24=FALSE,I24=TRUE,LEN(J24)=64,K24&lt;&gt;"",L24=TRUE,M24&lt;&gt;""),1,0))</x:f>
        <x:v>0</x:v>
      </x:c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N2"/>
  </x:mergeCells>
  <x:dataValidations count="4">
    <x:dataValidation type="list" sqref="D5:D24">
      <x:formula1>_Lists!$D$2:$D$3</x:formula1>
    </x:dataValidation>
    <x:dataValidation type="list" sqref="H5:H24">
      <x:formula1>_Lists!$C$2:$C$3</x:formula1>
    </x:dataValidation>
    <x:dataValidation type="list" sqref="I5:I24">
      <x:formula1>_Lists!$C$2:$C$3</x:formula1>
    </x:dataValidation>
    <x:dataValidation type="list" sqref="L5:L24">
      <x:formula1>_Lists!$C$2:$C$3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b76c61c45241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0" hidden="0" customWidth="1"/>
    <x:col min="5" max="5" width="14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20" hidden="0" customWidth="1"/>
    <x:col min="12" max="12" width="30" hidden="0" customWidth="1"/>
    <x:col min="13" max="13" width="12" hidden="0" customWidth="1"/>
  </x:cols>
  <x:sheetData>
    <x:row r="1">
      <x:c r="A1" s="40" t="str">
        <x:v>تنفيذ جلسات Pilot المحكومة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Execution Code</x:v>
      </x:c>
      <x:c r="B4" s="50" t="str">
        <x:v>Session Code</x:v>
      </x:c>
      <x:c r="C4" s="50" t="str">
        <x:v>Governance Code</x:v>
      </x:c>
      <x:c r="D4" s="50" t="str">
        <x:v>Sequence</x:v>
      </x:c>
      <x:c r="E4" s="50" t="str">
        <x:v>Status</x:v>
      </x:c>
      <x:c r="F4" s="50" t="str">
        <x:v>Live Data Attested</x:v>
      </x:c>
      <x:c r="G4" s="50" t="str">
        <x:v>Governance Ready</x:v>
      </x:c>
      <x:c r="H4" s="50" t="str">
        <x:v>Decision Count</x:v>
      </x:c>
      <x:c r="I4" s="50" t="str">
        <x:v>Quality Review Count</x:v>
      </x:c>
      <x:c r="J4" s="50" t="str">
        <x:v>Started At</x:v>
      </x:c>
      <x:c r="K4" s="50" t="str">
        <x:v>Completed At</x:v>
      </x:c>
      <x:c r="L4" s="50" t="str">
        <x:v>Evidence Ref</x:v>
      </x:c>
      <x:c r="M4" s="50" t="str">
        <x:v>Ready Flag</x:v>
      </x:c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 t="n">
        <x:v>1</x:v>
      </x:c>
      <x:c r="E5" s="43" t="str">
        <x:v>Planned</x:v>
      </x:c>
      <x:c r="F5" s="52" t="b">
        <x:v>0</x:v>
      </x:c>
      <x:c r="G5" s="52" t="b">
        <x:v>0</x:v>
      </x:c>
      <x:c r="H5" s="43" t="n">
        <x:v>0</x:v>
      </x:c>
      <x:c r="I5" s="43" t="n">
        <x:v>0</x:v>
      </x:c>
      <x:c r="J5" s="44"/>
      <x:c r="K5" s="44"/>
      <x:c r="L5" s="43"/>
      <x:c r="M5" s="43" t="n">
        <x:f>IF(A5="",0,IF(AND(E5="Completed",F5=TRUE,G5=TRUE,H5&gt;0,I5&gt;=H5,L5&lt;&gt;""),1,0))</x:f>
        <x:v>0</x:v>
      </x:c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 t="n">
        <x:v>1</x:v>
      </x:c>
      <x:c r="E6" s="43" t="str">
        <x:v>Planned</x:v>
      </x:c>
      <x:c r="F6" s="52" t="b">
        <x:v>0</x:v>
      </x:c>
      <x:c r="G6" s="52" t="b">
        <x:v>0</x:v>
      </x:c>
      <x:c r="H6" s="43" t="n">
        <x:v>0</x:v>
      </x:c>
      <x:c r="I6" s="43" t="n">
        <x:v>0</x:v>
      </x:c>
      <x:c r="J6" s="44"/>
      <x:c r="K6" s="44"/>
      <x:c r="L6" s="43"/>
      <x:c r="M6" s="43" t="n">
        <x:f>IF(A6="",0,IF(AND(E6="Completed",F6=TRUE,G6=TRUE,H6&gt;0,I6&gt;=H6,L6&lt;&gt;""),1,0))</x:f>
        <x:v>0</x:v>
      </x:c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 t="n">
        <x:v>1</x:v>
      </x:c>
      <x:c r="E7" s="43" t="str">
        <x:v>Planned</x:v>
      </x:c>
      <x:c r="F7" s="52" t="b">
        <x:v>0</x:v>
      </x:c>
      <x:c r="G7" s="52" t="b">
        <x:v>0</x:v>
      </x:c>
      <x:c r="H7" s="43" t="n">
        <x:v>0</x:v>
      </x:c>
      <x:c r="I7" s="43" t="n">
        <x:v>0</x:v>
      </x:c>
      <x:c r="J7" s="44"/>
      <x:c r="K7" s="44"/>
      <x:c r="L7" s="43"/>
      <x:c r="M7" s="43" t="n">
        <x:f>IF(A7="",0,IF(AND(E7="Completed",F7=TRUE,G7=TRUE,H7&gt;0,I7&gt;=H7,L7&lt;&gt;""),1,0))</x:f>
        <x:v>0</x:v>
      </x:c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 t="n">
        <x:v>1</x:v>
      </x:c>
      <x:c r="E8" s="43" t="str">
        <x:v>Planned</x:v>
      </x:c>
      <x:c r="F8" s="52" t="b">
        <x:v>0</x:v>
      </x:c>
      <x:c r="G8" s="52" t="b">
        <x:v>0</x:v>
      </x:c>
      <x:c r="H8" s="43" t="n">
        <x:v>0</x:v>
      </x:c>
      <x:c r="I8" s="43" t="n">
        <x:v>0</x:v>
      </x:c>
      <x:c r="J8" s="44"/>
      <x:c r="K8" s="44"/>
      <x:c r="L8" s="43"/>
      <x:c r="M8" s="43" t="n">
        <x:f>IF(A8="",0,IF(AND(E8="Completed",F8=TRUE,G8=TRUE,H8&gt;0,I8&gt;=H8,L8&lt;&gt;""),1,0))</x:f>
        <x:v>0</x:v>
      </x:c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 t="n">
        <x:v>1</x:v>
      </x:c>
      <x:c r="E9" s="43" t="str">
        <x:v>Planned</x:v>
      </x:c>
      <x:c r="F9" s="52" t="b">
        <x:v>0</x:v>
      </x:c>
      <x:c r="G9" s="52" t="b">
        <x:v>0</x:v>
      </x:c>
      <x:c r="H9" s="43" t="n">
        <x:v>0</x:v>
      </x:c>
      <x:c r="I9" s="43" t="n">
        <x:v>0</x:v>
      </x:c>
      <x:c r="J9" s="44"/>
      <x:c r="K9" s="44"/>
      <x:c r="L9" s="43"/>
      <x:c r="M9" s="43" t="n">
        <x:f>IF(A9="",0,IF(AND(E9="Completed",F9=TRUE,G9=TRUE,H9&gt;0,I9&gt;=H9,L9&lt;&gt;""),1,0))</x:f>
        <x:v>0</x:v>
      </x:c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 t="n">
        <x:v>1</x:v>
      </x:c>
      <x:c r="E10" s="43" t="str">
        <x:v>Planned</x:v>
      </x:c>
      <x:c r="F10" s="52" t="b">
        <x:v>0</x:v>
      </x:c>
      <x:c r="G10" s="52" t="b">
        <x:v>0</x:v>
      </x:c>
      <x:c r="H10" s="43" t="n">
        <x:v>0</x:v>
      </x:c>
      <x:c r="I10" s="43" t="n">
        <x:v>0</x:v>
      </x:c>
      <x:c r="J10" s="44"/>
      <x:c r="K10" s="44"/>
      <x:c r="L10" s="43"/>
      <x:c r="M10" s="43" t="n">
        <x:f>IF(A10="",0,IF(AND(E10="Completed",F10=TRUE,G10=TRUE,H10&gt;0,I10&gt;=H10,L10&lt;&gt;""),1,0))</x:f>
        <x:v>0</x:v>
      </x:c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 t="n">
        <x:v>1</x:v>
      </x:c>
      <x:c r="E11" s="43" t="str">
        <x:v>Planned</x:v>
      </x:c>
      <x:c r="F11" s="52" t="b">
        <x:v>0</x:v>
      </x:c>
      <x:c r="G11" s="52" t="b">
        <x:v>0</x:v>
      </x:c>
      <x:c r="H11" s="43" t="n">
        <x:v>0</x:v>
      </x:c>
      <x:c r="I11" s="43" t="n">
        <x:v>0</x:v>
      </x:c>
      <x:c r="J11" s="44"/>
      <x:c r="K11" s="44"/>
      <x:c r="L11" s="43"/>
      <x:c r="M11" s="43" t="n">
        <x:f>IF(A11="",0,IF(AND(E11="Completed",F11=TRUE,G11=TRUE,H11&gt;0,I11&gt;=H11,L11&lt;&gt;""),1,0))</x:f>
        <x:v>0</x:v>
      </x:c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 t="n">
        <x:v>1</x:v>
      </x:c>
      <x:c r="E12" s="43" t="str">
        <x:v>Planned</x:v>
      </x:c>
      <x:c r="F12" s="52" t="b">
        <x:v>0</x:v>
      </x:c>
      <x:c r="G12" s="52" t="b">
        <x:v>0</x:v>
      </x:c>
      <x:c r="H12" s="43" t="n">
        <x:v>0</x:v>
      </x:c>
      <x:c r="I12" s="43" t="n">
        <x:v>0</x:v>
      </x:c>
      <x:c r="J12" s="44"/>
      <x:c r="K12" s="44"/>
      <x:c r="L12" s="43"/>
      <x:c r="M12" s="43" t="n">
        <x:f>IF(A12="",0,IF(AND(E12="Completed",F12=TRUE,G12=TRUE,H12&gt;0,I12&gt;=H12,L12&lt;&gt;""),1,0))</x:f>
        <x:v>0</x:v>
      </x:c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 t="n">
        <x:v>1</x:v>
      </x:c>
      <x:c r="E13" s="43" t="str">
        <x:v>Planned</x:v>
      </x:c>
      <x:c r="F13" s="52" t="b">
        <x:v>0</x:v>
      </x:c>
      <x:c r="G13" s="52" t="b">
        <x:v>0</x:v>
      </x:c>
      <x:c r="H13" s="43" t="n">
        <x:v>0</x:v>
      </x:c>
      <x:c r="I13" s="43" t="n">
        <x:v>0</x:v>
      </x:c>
      <x:c r="J13" s="44"/>
      <x:c r="K13" s="44"/>
      <x:c r="L13" s="43"/>
      <x:c r="M13" s="43" t="n">
        <x:f>IF(A13="",0,IF(AND(E13="Completed",F13=TRUE,G13=TRUE,H13&gt;0,I13&gt;=H13,L13&lt;&gt;""),1,0))</x:f>
        <x:v>0</x:v>
      </x:c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 t="n">
        <x:v>1</x:v>
      </x:c>
      <x:c r="E14" s="43" t="str">
        <x:v>Planned</x:v>
      </x:c>
      <x:c r="F14" s="52" t="b">
        <x:v>0</x:v>
      </x:c>
      <x:c r="G14" s="52" t="b">
        <x:v>0</x:v>
      </x:c>
      <x:c r="H14" s="43" t="n">
        <x:v>0</x:v>
      </x:c>
      <x:c r="I14" s="43" t="n">
        <x:v>0</x:v>
      </x:c>
      <x:c r="J14" s="44"/>
      <x:c r="K14" s="44"/>
      <x:c r="L14" s="43"/>
      <x:c r="M14" s="43" t="n">
        <x:f>IF(A14="",0,IF(AND(E14="Completed",F14=TRUE,G14=TRUE,H14&gt;0,I14&gt;=H14,L14&lt;&gt;""),1,0))</x:f>
        <x:v>0</x:v>
      </x:c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3"/>
      <x:c r="D15" s="43" t="n">
        <x:v>1</x:v>
      </x:c>
      <x:c r="E15" s="43" t="str">
        <x:v>Planned</x:v>
      </x:c>
      <x:c r="F15" s="52" t="b">
        <x:v>0</x:v>
      </x:c>
      <x:c r="G15" s="52" t="b">
        <x:v>0</x:v>
      </x:c>
      <x:c r="H15" s="43" t="n">
        <x:v>0</x:v>
      </x:c>
      <x:c r="I15" s="43" t="n">
        <x:v>0</x:v>
      </x:c>
      <x:c r="J15" s="44"/>
      <x:c r="K15" s="44"/>
      <x:c r="L15" s="43"/>
      <x:c r="M15" s="43" t="n">
        <x:f>IF(A15="",0,IF(AND(E15="Completed",F15=TRUE,G15=TRUE,H15&gt;0,I15&gt;=H15,L15&lt;&gt;""),1,0))</x:f>
        <x:v>0</x:v>
      </x:c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3"/>
      <x:c r="D16" s="43" t="n">
        <x:v>1</x:v>
      </x:c>
      <x:c r="E16" s="43" t="str">
        <x:v>Planned</x:v>
      </x:c>
      <x:c r="F16" s="52" t="b">
        <x:v>0</x:v>
      </x:c>
      <x:c r="G16" s="52" t="b">
        <x:v>0</x:v>
      </x:c>
      <x:c r="H16" s="43" t="n">
        <x:v>0</x:v>
      </x:c>
      <x:c r="I16" s="43" t="n">
        <x:v>0</x:v>
      </x:c>
      <x:c r="J16" s="44"/>
      <x:c r="K16" s="44"/>
      <x:c r="L16" s="43"/>
      <x:c r="M16" s="43" t="n">
        <x:f>IF(A16="",0,IF(AND(E16="Completed",F16=TRUE,G16=TRUE,H16&gt;0,I16&gt;=H16,L16&lt;&gt;""),1,0))</x:f>
        <x:v>0</x:v>
      </x:c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3"/>
      <x:c r="D17" s="43" t="n">
        <x:v>1</x:v>
      </x:c>
      <x:c r="E17" s="43" t="str">
        <x:v>Planned</x:v>
      </x:c>
      <x:c r="F17" s="52" t="b">
        <x:v>0</x:v>
      </x:c>
      <x:c r="G17" s="52" t="b">
        <x:v>0</x:v>
      </x:c>
      <x:c r="H17" s="43" t="n">
        <x:v>0</x:v>
      </x:c>
      <x:c r="I17" s="43" t="n">
        <x:v>0</x:v>
      </x:c>
      <x:c r="J17" s="44"/>
      <x:c r="K17" s="44"/>
      <x:c r="L17" s="43"/>
      <x:c r="M17" s="43" t="n">
        <x:f>IF(A17="",0,IF(AND(E17="Completed",F17=TRUE,G17=TRUE,H17&gt;0,I17&gt;=H17,L17&lt;&gt;""),1,0))</x:f>
        <x:v>0</x:v>
      </x:c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3"/>
      <x:c r="D18" s="43" t="n">
        <x:v>1</x:v>
      </x:c>
      <x:c r="E18" s="43" t="str">
        <x:v>Planned</x:v>
      </x:c>
      <x:c r="F18" s="52" t="b">
        <x:v>0</x:v>
      </x:c>
      <x:c r="G18" s="52" t="b">
        <x:v>0</x:v>
      </x:c>
      <x:c r="H18" s="43" t="n">
        <x:v>0</x:v>
      </x:c>
      <x:c r="I18" s="43" t="n">
        <x:v>0</x:v>
      </x:c>
      <x:c r="J18" s="44"/>
      <x:c r="K18" s="44"/>
      <x:c r="L18" s="43"/>
      <x:c r="M18" s="43" t="n">
        <x:f>IF(A18="",0,IF(AND(E18="Completed",F18=TRUE,G18=TRUE,H18&gt;0,I18&gt;=H18,L18&lt;&gt;""),1,0))</x:f>
        <x:v>0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3"/>
      <x:c r="D19" s="43" t="n">
        <x:v>1</x:v>
      </x:c>
      <x:c r="E19" s="43" t="str">
        <x:v>Planned</x:v>
      </x:c>
      <x:c r="F19" s="52" t="b">
        <x:v>0</x:v>
      </x:c>
      <x:c r="G19" s="52" t="b">
        <x:v>0</x:v>
      </x:c>
      <x:c r="H19" s="43" t="n">
        <x:v>0</x:v>
      </x:c>
      <x:c r="I19" s="43" t="n">
        <x:v>0</x:v>
      </x:c>
      <x:c r="J19" s="44"/>
      <x:c r="K19" s="44"/>
      <x:c r="L19" s="43"/>
      <x:c r="M19" s="43" t="n">
        <x:f>IF(A19="",0,IF(AND(E19="Completed",F19=TRUE,G19=TRUE,H19&gt;0,I19&gt;=H19,L19&lt;&gt;""),1,0))</x:f>
        <x:v>0</x:v>
      </x:c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3"/>
      <x:c r="D20" s="43" t="n">
        <x:v>1</x:v>
      </x:c>
      <x:c r="E20" s="43" t="str">
        <x:v>Planned</x:v>
      </x:c>
      <x:c r="F20" s="52" t="b">
        <x:v>0</x:v>
      </x:c>
      <x:c r="G20" s="52" t="b">
        <x:v>0</x:v>
      </x:c>
      <x:c r="H20" s="43" t="n">
        <x:v>0</x:v>
      </x:c>
      <x:c r="I20" s="43" t="n">
        <x:v>0</x:v>
      </x:c>
      <x:c r="J20" s="44"/>
      <x:c r="K20" s="44"/>
      <x:c r="L20" s="43"/>
      <x:c r="M20" s="43" t="n">
        <x:f>IF(A20="",0,IF(AND(E20="Completed",F20=TRUE,G20=TRUE,H20&gt;0,I20&gt;=H20,L20&lt;&gt;""),1,0))</x:f>
        <x:v>0</x:v>
      </x:c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3"/>
      <x:c r="D21" s="43" t="n">
        <x:v>1</x:v>
      </x:c>
      <x:c r="E21" s="43" t="str">
        <x:v>Planned</x:v>
      </x:c>
      <x:c r="F21" s="52" t="b">
        <x:v>0</x:v>
      </x:c>
      <x:c r="G21" s="52" t="b">
        <x:v>0</x:v>
      </x:c>
      <x:c r="H21" s="43" t="n">
        <x:v>0</x:v>
      </x:c>
      <x:c r="I21" s="43" t="n">
        <x:v>0</x:v>
      </x:c>
      <x:c r="J21" s="44"/>
      <x:c r="K21" s="44"/>
      <x:c r="L21" s="43"/>
      <x:c r="M21" s="43" t="n">
        <x:f>IF(A21="",0,IF(AND(E21="Completed",F21=TRUE,G21=TRUE,H21&gt;0,I21&gt;=H21,L21&lt;&gt;""),1,0))</x:f>
        <x:v>0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3"/>
      <x:c r="D22" s="43" t="n">
        <x:v>1</x:v>
      </x:c>
      <x:c r="E22" s="43" t="str">
        <x:v>Planned</x:v>
      </x:c>
      <x:c r="F22" s="52" t="b">
        <x:v>0</x:v>
      </x:c>
      <x:c r="G22" s="52" t="b">
        <x:v>0</x:v>
      </x:c>
      <x:c r="H22" s="43" t="n">
        <x:v>0</x:v>
      </x:c>
      <x:c r="I22" s="43" t="n">
        <x:v>0</x:v>
      </x:c>
      <x:c r="J22" s="44"/>
      <x:c r="K22" s="44"/>
      <x:c r="L22" s="43"/>
      <x:c r="M22" s="43" t="n">
        <x:f>IF(A22="",0,IF(AND(E22="Completed",F22=TRUE,G22=TRUE,H22&gt;0,I22&gt;=H22,L22&lt;&gt;""),1,0))</x:f>
        <x:v>0</x:v>
      </x:c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3"/>
      <x:c r="D23" s="43" t="n">
        <x:v>1</x:v>
      </x:c>
      <x:c r="E23" s="43" t="str">
        <x:v>Planned</x:v>
      </x:c>
      <x:c r="F23" s="52" t="b">
        <x:v>0</x:v>
      </x:c>
      <x:c r="G23" s="52" t="b">
        <x:v>0</x:v>
      </x:c>
      <x:c r="H23" s="43" t="n">
        <x:v>0</x:v>
      </x:c>
      <x:c r="I23" s="43" t="n">
        <x:v>0</x:v>
      </x:c>
      <x:c r="J23" s="44"/>
      <x:c r="K23" s="44"/>
      <x:c r="L23" s="43"/>
      <x:c r="M23" s="43" t="n">
        <x:f>IF(A23="",0,IF(AND(E23="Completed",F23=TRUE,G23=TRUE,H23&gt;0,I23&gt;=H23,L23&lt;&gt;""),1,0))</x:f>
        <x:v>0</x:v>
      </x:c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3"/>
      <x:c r="D24" s="43" t="n">
        <x:v>1</x:v>
      </x:c>
      <x:c r="E24" s="43" t="str">
        <x:v>Planned</x:v>
      </x:c>
      <x:c r="F24" s="52" t="b">
        <x:v>0</x:v>
      </x:c>
      <x:c r="G24" s="52" t="b">
        <x:v>0</x:v>
      </x:c>
      <x:c r="H24" s="43" t="n">
        <x:v>0</x:v>
      </x:c>
      <x:c r="I24" s="43" t="n">
        <x:v>0</x:v>
      </x:c>
      <x:c r="J24" s="44"/>
      <x:c r="K24" s="44"/>
      <x:c r="L24" s="43"/>
      <x:c r="M24" s="43" t="n">
        <x:f>IF(A24="",0,IF(AND(E24="Completed",F24=TRUE,G24=TRUE,H24&gt;0,I24&gt;=H24,L24&lt;&gt;""),1,0))</x:f>
        <x:v>0</x:v>
      </x:c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M2"/>
  </x:mergeCells>
  <x:dataValidations count="3">
    <x:dataValidation type="list" sqref="E5:E24">
      <x:formula1>_Lists!$E$2:$E$5</x:formula1>
    </x:dataValidation>
    <x:dataValidation type="list" sqref="F5:F24">
      <x:formula1>_Lists!$C$2:$C$3</x:formula1>
    </x:dataValidation>
    <x:dataValidation type="list" sqref="G5:G24">
      <x:formula1>_Lists!$C$2:$C$3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b0127b67b7443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30" hidden="0" customWidth="1"/>
    <x:col min="11" max="11" width="20" hidden="0" customWidth="1"/>
    <x:col min="12" max="12" width="22" hidden="0" customWidth="1"/>
    <x:col min="13" max="13" width="42" hidden="0" customWidth="1"/>
    <x:col min="14" max="14" width="12" hidden="0" customWidth="1"/>
  </x:cols>
  <x:sheetData>
    <x:row r="1">
      <x:c r="A1" s="40" t="str">
        <x:v>مؤشرات النتائج التشغيلية - ليست درجة امتثال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Metric Code</x:v>
      </x:c>
      <x:c r="B4" s="50" t="str">
        <x:v>Name</x:v>
      </x:c>
      <x:c r="C4" s="50" t="str">
        <x:v>Category</x:v>
      </x:c>
      <x:c r="D4" s="50" t="str">
        <x:v>Direction</x:v>
      </x:c>
      <x:c r="E4" s="50" t="str">
        <x:v>Baseline</x:v>
      </x:c>
      <x:c r="F4" s="50" t="str">
        <x:v>Current</x:v>
      </x:c>
      <x:c r="G4" s="50" t="str">
        <x:v>Target</x:v>
      </x:c>
      <x:c r="H4" s="50" t="str">
        <x:v>Unit</x:v>
      </x:c>
      <x:c r="I4" s="50" t="str">
        <x:v>Status</x:v>
      </x:c>
      <x:c r="J4" s="50" t="str">
        <x:v>Source Ref</x:v>
      </x:c>
      <x:c r="K4" s="50" t="str">
        <x:v>Measured At</x:v>
      </x:c>
      <x:c r="L4" s="50" t="str">
        <x:v>Owner Role</x:v>
      </x:c>
      <x:c r="M4" s="50" t="str">
        <x:v>Guardrail Note</x:v>
      </x:c>
      <x:c r="N4" s="50" t="str">
        <x:v>Ready Flag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DECISION-TIME</x:v>
      </x:c>
      <x:c r="B5" s="43" t="str">
        <x:v>Median decision time</x:v>
      </x:c>
      <x:c r="C5" s="43" t="str">
        <x:v>Governance</x:v>
      </x:c>
      <x:c r="D5" s="43" t="str">
        <x:v>LowerIsBetter</x:v>
      </x:c>
      <x:c r="E5" s="43" t="n">
        <x:v>72</x:v>
      </x:c>
      <x:c r="F5" s="43"/>
      <x:c r="G5" s="43" t="n">
        <x:v>24</x:v>
      </x:c>
      <x:c r="H5" s="43" t="str">
        <x:v>hours</x:v>
      </x:c>
      <x:c r="I5" s="43" t="str">
        <x:v>NotMeasured</x:v>
      </x:c>
      <x:c r="J5" s="43"/>
      <x:c r="K5" s="44"/>
      <x:c r="L5" s="43" t="str">
        <x:v>AccreditationLead</x:v>
      </x:c>
      <x:c r="M5" s="43" t="str">
        <x:v>Does not approve compliance.</x:v>
      </x:c>
      <x:c r="N5" s="43" t="n">
        <x:f>IF(A5="",0,IF(AND(F5&lt;&gt;"",G5&lt;&gt;"",I5&lt;&gt;"NotMeasured",J5&lt;&gt;"",K5&lt;&gt;""),1,0))</x:f>
        <x:v>0</x:v>
      </x:c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SESSION-QUALITY</x:v>
      </x:c>
      <x:c r="B6" s="43" t="str">
        <x:v>Average decision quality</x:v>
      </x:c>
      <x:c r="C6" s="43" t="str">
        <x:v>Governance</x:v>
      </x:c>
      <x:c r="D6" s="43" t="str">
        <x:v>HigherIsBetter</x:v>
      </x:c>
      <x:c r="E6" s="43" t="n">
        <x:v>0</x:v>
      </x:c>
      <x:c r="F6" s="43"/>
      <x:c r="G6" s="43" t="n">
        <x:v>80</x:v>
      </x:c>
      <x:c r="H6" s="43" t="str">
        <x:v>score</x:v>
      </x:c>
      <x:c r="I6" s="43" t="str">
        <x:v>NotMeasured</x:v>
      </x:c>
      <x:c r="J6" s="43"/>
      <x:c r="K6" s="44"/>
      <x:c r="L6" s="43" t="str">
        <x:v>ReadOnlyAuditor</x:v>
      </x:c>
      <x:c r="M6" s="43" t="str">
        <x:v>Documentation quality only.</x:v>
      </x:c>
      <x:c r="N6" s="43" t="n">
        <x:f>IF(A6="",0,IF(AND(F6&lt;&gt;"",G6&lt;&gt;"",I6&lt;&gt;"NotMeasured",J6&lt;&gt;"",K6&lt;&gt;""),1,0))</x:f>
        <x:v>0</x:v>
      </x:c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>
        <x:v>USER-ADOPTION</x:v>
      </x:c>
      <x:c r="B7" s="43" t="str">
        <x:v>Governed workflow adoption</x:v>
      </x:c>
      <x:c r="C7" s="43" t="str">
        <x:v>Adoption</x:v>
      </x:c>
      <x:c r="D7" s="43" t="str">
        <x:v>HigherIsBetter</x:v>
      </x:c>
      <x:c r="E7" s="43" t="n">
        <x:v>0</x:v>
      </x:c>
      <x:c r="F7" s="43"/>
      <x:c r="G7" s="43" t="n">
        <x:v>10</x:v>
      </x:c>
      <x:c r="H7" s="43" t="str">
        <x:v>events</x:v>
      </x:c>
      <x:c r="I7" s="43" t="str">
        <x:v>NotMeasured</x:v>
      </x:c>
      <x:c r="J7" s="43"/>
      <x:c r="K7" s="44"/>
      <x:c r="L7" s="43" t="str">
        <x:v>AccreditationLead</x:v>
      </x:c>
      <x:c r="M7" s="43" t="str">
        <x:v>Operational adoption only.</x:v>
      </x:c>
      <x:c r="N7" s="43" t="n">
        <x:f>IF(A7="",0,IF(AND(F7&lt;&gt;"",G7&lt;&gt;"",I7&lt;&gt;"NotMeasured",J7&lt;&gt;"",K7&lt;&gt;""),1,0))</x:f>
        <x:v>0</x:v>
      </x:c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N2"/>
  </x:mergeCells>
  <x:dataValidations count="2">
    <x:dataValidation type="list" sqref="D5:D7">
      <x:formula1>_Lists!$F$2:$F$4</x:formula1>
    </x:dataValidation>
    <x:dataValidation type="list" sqref="I5:I7">
      <x:formula1>_Lists!$G$2:$G$4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529cde866a43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68" hidden="0" customWidth="1"/>
    <x:col min="5" max="5" width="10" hidden="0" customWidth="1"/>
    <x:col min="6" max="6" width="20" hidden="0" customWidth="1"/>
    <x:col min="7" max="7" width="30" hidden="0" customWidth="1"/>
    <x:col min="8" max="8" width="40" hidden="0" customWidth="1"/>
    <x:col min="9" max="9" width="16" hidden="0" customWidth="1"/>
    <x:col min="10" max="10" width="12" hidden="0" customWidth="1"/>
  </x:cols>
  <x:sheetData>
    <x:row r="1">
      <x:c r="A1" s="40" t="str">
        <x:v>أحداث التبني والاستخدام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Event Code</x:v>
      </x:c>
      <x:c r="B4" s="50" t="str">
        <x:v>Event Type</x:v>
      </x:c>
      <x:c r="C4" s="50" t="str">
        <x:v>Role Code</x:v>
      </x:c>
      <x:c r="D4" s="50" t="str">
        <x:v>Actor Token</x:v>
      </x:c>
      <x:c r="E4" s="50" t="str">
        <x:v>Count</x:v>
      </x:c>
      <x:c r="F4" s="50" t="str">
        <x:v>Occurred At</x:v>
      </x:c>
      <x:c r="G4" s="50" t="str">
        <x:v>Evidence Ref</x:v>
      </x:c>
      <x:c r="H4" s="50" t="str">
        <x:v>Metadata</x:v>
      </x:c>
      <x:c r="I4" s="50" t="str">
        <x:v>Privacy Checked</x:v>
      </x:c>
      <x:c r="J4" s="50" t="str">
        <x:v>Ready Flag</x:v>
      </x:c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/>
      <x:c r="E5" s="43" t="n">
        <x:v>0</x:v>
      </x:c>
      <x:c r="F5" s="44"/>
      <x:c r="G5" s="43"/>
      <x:c r="H5" s="43"/>
      <x:c r="I5" s="52" t="b">
        <x:v>0</x:v>
      </x:c>
      <x:c r="J5" s="43" t="n">
        <x:f>IF(A5="",0,IF(AND(B5&lt;&gt;"",D5&lt;&gt;"",LEN(D5)=64,E5&gt;0,F5&lt;&gt;"",I5=TRUE),1,0))</x:f>
        <x:v>0</x:v>
      </x:c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/>
      <x:c r="E6" s="43" t="n">
        <x:v>0</x:v>
      </x:c>
      <x:c r="F6" s="44"/>
      <x:c r="G6" s="43"/>
      <x:c r="H6" s="43"/>
      <x:c r="I6" s="52" t="b">
        <x:v>0</x:v>
      </x:c>
      <x:c r="J6" s="43" t="n">
        <x:f>IF(A6="",0,IF(AND(B6&lt;&gt;"",D6&lt;&gt;"",LEN(D6)=64,E6&gt;0,F6&lt;&gt;"",I6=TRUE),1,0))</x:f>
        <x:v>0</x:v>
      </x:c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/>
      <x:c r="E7" s="43" t="n">
        <x:v>0</x:v>
      </x:c>
      <x:c r="F7" s="44"/>
      <x:c r="G7" s="43"/>
      <x:c r="H7" s="43"/>
      <x:c r="I7" s="52" t="b">
        <x:v>0</x:v>
      </x:c>
      <x:c r="J7" s="43" t="n">
        <x:f>IF(A7="",0,IF(AND(B7&lt;&gt;"",D7&lt;&gt;"",LEN(D7)=64,E7&gt;0,F7&lt;&gt;"",I7=TRUE),1,0))</x:f>
        <x:v>0</x:v>
      </x:c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/>
      <x:c r="E8" s="43" t="n">
        <x:v>0</x:v>
      </x:c>
      <x:c r="F8" s="44"/>
      <x:c r="G8" s="43"/>
      <x:c r="H8" s="43"/>
      <x:c r="I8" s="52" t="b">
        <x:v>0</x:v>
      </x:c>
      <x:c r="J8" s="43" t="n">
        <x:f>IF(A8="",0,IF(AND(B8&lt;&gt;"",D8&lt;&gt;"",LEN(D8)=64,E8&gt;0,F8&lt;&gt;"",I8=TRUE),1,0))</x:f>
        <x:v>0</x:v>
      </x:c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/>
      <x:c r="E9" s="43" t="n">
        <x:v>0</x:v>
      </x:c>
      <x:c r="F9" s="44"/>
      <x:c r="G9" s="43"/>
      <x:c r="H9" s="43"/>
      <x:c r="I9" s="52" t="b">
        <x:v>0</x:v>
      </x:c>
      <x:c r="J9" s="43" t="n">
        <x:f>IF(A9="",0,IF(AND(B9&lt;&gt;"",D9&lt;&gt;"",LEN(D9)=64,E9&gt;0,F9&lt;&gt;"",I9=TRUE),1,0))</x:f>
        <x:v>0</x:v>
      </x:c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/>
      <x:c r="E10" s="43" t="n">
        <x:v>0</x:v>
      </x:c>
      <x:c r="F10" s="44"/>
      <x:c r="G10" s="43"/>
      <x:c r="H10" s="43"/>
      <x:c r="I10" s="52" t="b">
        <x:v>0</x:v>
      </x:c>
      <x:c r="J10" s="43" t="n">
        <x:f>IF(A10="",0,IF(AND(B10&lt;&gt;"",D10&lt;&gt;"",LEN(D10)=64,E10&gt;0,F10&lt;&gt;"",I10=TRUE),1,0))</x:f>
        <x:v>0</x:v>
      </x:c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/>
      <x:c r="E11" s="43" t="n">
        <x:v>0</x:v>
      </x:c>
      <x:c r="F11" s="44"/>
      <x:c r="G11" s="43"/>
      <x:c r="H11" s="43"/>
      <x:c r="I11" s="52" t="b">
        <x:v>0</x:v>
      </x:c>
      <x:c r="J11" s="43" t="n">
        <x:f>IF(A11="",0,IF(AND(B11&lt;&gt;"",D11&lt;&gt;"",LEN(D11)=64,E11&gt;0,F11&lt;&gt;"",I11=TRUE),1,0))</x:f>
        <x:v>0</x:v>
      </x:c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/>
      <x:c r="E12" s="43" t="n">
        <x:v>0</x:v>
      </x:c>
      <x:c r="F12" s="44"/>
      <x:c r="G12" s="43"/>
      <x:c r="H12" s="43"/>
      <x:c r="I12" s="52" t="b">
        <x:v>0</x:v>
      </x:c>
      <x:c r="J12" s="43" t="n">
        <x:f>IF(A12="",0,IF(AND(B12&lt;&gt;"",D12&lt;&gt;"",LEN(D12)=64,E12&gt;0,F12&lt;&gt;"",I12=TRUE),1,0))</x:f>
        <x:v>0</x:v>
      </x:c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/>
      <x:c r="E13" s="43" t="n">
        <x:v>0</x:v>
      </x:c>
      <x:c r="F13" s="44"/>
      <x:c r="G13" s="43"/>
      <x:c r="H13" s="43"/>
      <x:c r="I13" s="52" t="b">
        <x:v>0</x:v>
      </x:c>
      <x:c r="J13" s="43" t="n">
        <x:f>IF(A13="",0,IF(AND(B13&lt;&gt;"",D13&lt;&gt;"",LEN(D13)=64,E13&gt;0,F13&lt;&gt;"",I13=TRUE),1,0))</x:f>
        <x:v>0</x:v>
      </x:c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/>
      <x:c r="E14" s="43" t="n">
        <x:v>0</x:v>
      </x:c>
      <x:c r="F14" s="44"/>
      <x:c r="G14" s="43"/>
      <x:c r="H14" s="43"/>
      <x:c r="I14" s="52" t="b">
        <x:v>0</x:v>
      </x:c>
      <x:c r="J14" s="43" t="n">
        <x:f>IF(A14="",0,IF(AND(B14&lt;&gt;"",D14&lt;&gt;"",LEN(D14)=64,E14&gt;0,F14&lt;&gt;"",I14=TRUE),1,0))</x:f>
        <x:v>0</x:v>
      </x:c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3"/>
      <x:c r="D15" s="43"/>
      <x:c r="E15" s="43" t="n">
        <x:v>0</x:v>
      </x:c>
      <x:c r="F15" s="44"/>
      <x:c r="G15" s="43"/>
      <x:c r="H15" s="43"/>
      <x:c r="I15" s="52" t="b">
        <x:v>0</x:v>
      </x:c>
      <x:c r="J15" s="43" t="n">
        <x:f>IF(A15="",0,IF(AND(B15&lt;&gt;"",D15&lt;&gt;"",LEN(D15)=64,E15&gt;0,F15&lt;&gt;"",I15=TRUE),1,0))</x:f>
        <x:v>0</x:v>
      </x:c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3"/>
      <x:c r="D16" s="43"/>
      <x:c r="E16" s="43" t="n">
        <x:v>0</x:v>
      </x:c>
      <x:c r="F16" s="44"/>
      <x:c r="G16" s="43"/>
      <x:c r="H16" s="43"/>
      <x:c r="I16" s="52" t="b">
        <x:v>0</x:v>
      </x:c>
      <x:c r="J16" s="43" t="n">
        <x:f>IF(A16="",0,IF(AND(B16&lt;&gt;"",D16&lt;&gt;"",LEN(D16)=64,E16&gt;0,F16&lt;&gt;"",I16=TRUE),1,0))</x:f>
        <x:v>0</x:v>
      </x:c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3"/>
      <x:c r="D17" s="43"/>
      <x:c r="E17" s="43" t="n">
        <x:v>0</x:v>
      </x:c>
      <x:c r="F17" s="44"/>
      <x:c r="G17" s="43"/>
      <x:c r="H17" s="43"/>
      <x:c r="I17" s="52" t="b">
        <x:v>0</x:v>
      </x:c>
      <x:c r="J17" s="43" t="n">
        <x:f>IF(A17="",0,IF(AND(B17&lt;&gt;"",D17&lt;&gt;"",LEN(D17)=64,E17&gt;0,F17&lt;&gt;"",I17=TRUE),1,0))</x:f>
        <x:v>0</x:v>
      </x:c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3"/>
      <x:c r="D18" s="43"/>
      <x:c r="E18" s="43" t="n">
        <x:v>0</x:v>
      </x:c>
      <x:c r="F18" s="44"/>
      <x:c r="G18" s="43"/>
      <x:c r="H18" s="43"/>
      <x:c r="I18" s="52" t="b">
        <x:v>0</x:v>
      </x:c>
      <x:c r="J18" s="43" t="n">
        <x:f>IF(A18="",0,IF(AND(B18&lt;&gt;"",D18&lt;&gt;"",LEN(D18)=64,E18&gt;0,F18&lt;&gt;"",I18=TRUE),1,0))</x:f>
        <x:v>0</x:v>
      </x:c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3"/>
      <x:c r="D19" s="43"/>
      <x:c r="E19" s="43" t="n">
        <x:v>0</x:v>
      </x:c>
      <x:c r="F19" s="44"/>
      <x:c r="G19" s="43"/>
      <x:c r="H19" s="43"/>
      <x:c r="I19" s="52" t="b">
        <x:v>0</x:v>
      </x:c>
      <x:c r="J19" s="43" t="n">
        <x:f>IF(A19="",0,IF(AND(B19&lt;&gt;"",D19&lt;&gt;"",LEN(D19)=64,E19&gt;0,F19&lt;&gt;"",I19=TRUE),1,0))</x:f>
        <x:v>0</x:v>
      </x:c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3"/>
      <x:c r="D20" s="43"/>
      <x:c r="E20" s="43" t="n">
        <x:v>0</x:v>
      </x:c>
      <x:c r="F20" s="44"/>
      <x:c r="G20" s="43"/>
      <x:c r="H20" s="43"/>
      <x:c r="I20" s="52" t="b">
        <x:v>0</x:v>
      </x:c>
      <x:c r="J20" s="43" t="n">
        <x:f>IF(A20="",0,IF(AND(B20&lt;&gt;"",D20&lt;&gt;"",LEN(D20)=64,E20&gt;0,F20&lt;&gt;"",I20=TRUE),1,0))</x:f>
        <x:v>0</x:v>
      </x:c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3"/>
      <x:c r="D21" s="43"/>
      <x:c r="E21" s="43" t="n">
        <x:v>0</x:v>
      </x:c>
      <x:c r="F21" s="44"/>
      <x:c r="G21" s="43"/>
      <x:c r="H21" s="43"/>
      <x:c r="I21" s="52" t="b">
        <x:v>0</x:v>
      </x:c>
      <x:c r="J21" s="43" t="n">
        <x:f>IF(A21="",0,IF(AND(B21&lt;&gt;"",D21&lt;&gt;"",LEN(D21)=64,E21&gt;0,F21&lt;&gt;"",I21=TRUE),1,0))</x:f>
        <x:v>0</x:v>
      </x:c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3"/>
      <x:c r="D22" s="43"/>
      <x:c r="E22" s="43" t="n">
        <x:v>0</x:v>
      </x:c>
      <x:c r="F22" s="44"/>
      <x:c r="G22" s="43"/>
      <x:c r="H22" s="43"/>
      <x:c r="I22" s="52" t="b">
        <x:v>0</x:v>
      </x:c>
      <x:c r="J22" s="43" t="n">
        <x:f>IF(A22="",0,IF(AND(B22&lt;&gt;"",D22&lt;&gt;"",LEN(D22)=64,E22&gt;0,F22&lt;&gt;"",I22=TRUE),1,0))</x:f>
        <x:v>0</x:v>
      </x:c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3"/>
      <x:c r="D23" s="43"/>
      <x:c r="E23" s="43" t="n">
        <x:v>0</x:v>
      </x:c>
      <x:c r="F23" s="44"/>
      <x:c r="G23" s="43"/>
      <x:c r="H23" s="43"/>
      <x:c r="I23" s="52" t="b">
        <x:v>0</x:v>
      </x:c>
      <x:c r="J23" s="43" t="n">
        <x:f>IF(A23="",0,IF(AND(B23&lt;&gt;"",D23&lt;&gt;"",LEN(D23)=64,E23&gt;0,F23&lt;&gt;"",I23=TRUE),1,0))</x:f>
        <x:v>0</x:v>
      </x:c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3"/>
      <x:c r="D24" s="43"/>
      <x:c r="E24" s="43" t="n">
        <x:v>0</x:v>
      </x:c>
      <x:c r="F24" s="44"/>
      <x:c r="G24" s="43"/>
      <x:c r="H24" s="43"/>
      <x:c r="I24" s="52" t="b">
        <x:v>0</x:v>
      </x:c>
      <x:c r="J24" s="43" t="n">
        <x:f>IF(A24="",0,IF(AND(B24&lt;&gt;"",D24&lt;&gt;"",LEN(D24)=64,E24&gt;0,F24&lt;&gt;"",I24=TRUE),1,0))</x:f>
        <x:v>0</x:v>
      </x:c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/>
      <x:c r="B25" s="43"/>
      <x:c r="C25" s="43"/>
      <x:c r="D25" s="43"/>
      <x:c r="E25" s="43" t="n">
        <x:v>0</x:v>
      </x:c>
      <x:c r="F25" s="44"/>
      <x:c r="G25" s="43"/>
      <x:c r="H25" s="43"/>
      <x:c r="I25" s="52" t="b">
        <x:v>0</x:v>
      </x:c>
      <x:c r="J25" s="43" t="n">
        <x:f>IF(A25="",0,IF(AND(B25&lt;&gt;"",D25&lt;&gt;"",LEN(D25)=64,E25&gt;0,F25&lt;&gt;"",I25=TRUE),1,0))</x:f>
        <x:v>0</x:v>
      </x:c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/>
      <x:c r="B26" s="43"/>
      <x:c r="C26" s="43"/>
      <x:c r="D26" s="43"/>
      <x:c r="E26" s="43" t="n">
        <x:v>0</x:v>
      </x:c>
      <x:c r="F26" s="44"/>
      <x:c r="G26" s="43"/>
      <x:c r="H26" s="43"/>
      <x:c r="I26" s="52" t="b">
        <x:v>0</x:v>
      </x:c>
      <x:c r="J26" s="43" t="n">
        <x:f>IF(A26="",0,IF(AND(B26&lt;&gt;"",D26&lt;&gt;"",LEN(D26)=64,E26&gt;0,F26&lt;&gt;"",I26=TRUE),1,0))</x:f>
        <x:v>0</x:v>
      </x:c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/>
      <x:c r="B27" s="43"/>
      <x:c r="C27" s="43"/>
      <x:c r="D27" s="43"/>
      <x:c r="E27" s="43" t="n">
        <x:v>0</x:v>
      </x:c>
      <x:c r="F27" s="44"/>
      <x:c r="G27" s="43"/>
      <x:c r="H27" s="43"/>
      <x:c r="I27" s="52" t="b">
        <x:v>0</x:v>
      </x:c>
      <x:c r="J27" s="43" t="n">
        <x:f>IF(A27="",0,IF(AND(B27&lt;&gt;"",D27&lt;&gt;"",LEN(D27)=64,E27&gt;0,F27&lt;&gt;"",I27=TRUE),1,0))</x:f>
        <x:v>0</x:v>
      </x:c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/>
      <x:c r="B28" s="43"/>
      <x:c r="C28" s="43"/>
      <x:c r="D28" s="43"/>
      <x:c r="E28" s="43" t="n">
        <x:v>0</x:v>
      </x:c>
      <x:c r="F28" s="44"/>
      <x:c r="G28" s="43"/>
      <x:c r="H28" s="43"/>
      <x:c r="I28" s="52" t="b">
        <x:v>0</x:v>
      </x:c>
      <x:c r="J28" s="43" t="n">
        <x:f>IF(A28="",0,IF(AND(B28&lt;&gt;"",D28&lt;&gt;"",LEN(D28)=64,E28&gt;0,F28&lt;&gt;"",I28=TRUE),1,0))</x:f>
        <x:v>0</x:v>
      </x:c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/>
      <x:c r="B29" s="43"/>
      <x:c r="C29" s="43"/>
      <x:c r="D29" s="43"/>
      <x:c r="E29" s="43" t="n">
        <x:v>0</x:v>
      </x:c>
      <x:c r="F29" s="44"/>
      <x:c r="G29" s="43"/>
      <x:c r="H29" s="43"/>
      <x:c r="I29" s="52" t="b">
        <x:v>0</x:v>
      </x:c>
      <x:c r="J29" s="43" t="n">
        <x:f>IF(A29="",0,IF(AND(B29&lt;&gt;"",D29&lt;&gt;"",LEN(D29)=64,E29&gt;0,F29&lt;&gt;"",I29=TRUE),1,0))</x:f>
        <x:v>0</x:v>
      </x:c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/>
      <x:c r="B30" s="43"/>
      <x:c r="C30" s="43"/>
      <x:c r="D30" s="43"/>
      <x:c r="E30" s="43" t="n">
        <x:v>0</x:v>
      </x:c>
      <x:c r="F30" s="44"/>
      <x:c r="G30" s="43"/>
      <x:c r="H30" s="43"/>
      <x:c r="I30" s="52" t="b">
        <x:v>0</x:v>
      </x:c>
      <x:c r="J30" s="43" t="n">
        <x:f>IF(A30="",0,IF(AND(B30&lt;&gt;"",D30&lt;&gt;"",LEN(D30)=64,E30&gt;0,F30&lt;&gt;"",I30=TRUE),1,0))</x:f>
        <x:v>0</x:v>
      </x:c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/>
      <x:c r="B31" s="43"/>
      <x:c r="C31" s="43"/>
      <x:c r="D31" s="43"/>
      <x:c r="E31" s="43" t="n">
        <x:v>0</x:v>
      </x:c>
      <x:c r="F31" s="44"/>
      <x:c r="G31" s="43"/>
      <x:c r="H31" s="43"/>
      <x:c r="I31" s="52" t="b">
        <x:v>0</x:v>
      </x:c>
      <x:c r="J31" s="43" t="n">
        <x:f>IF(A31="",0,IF(AND(B31&lt;&gt;"",D31&lt;&gt;"",LEN(D31)=64,E31&gt;0,F31&lt;&gt;"",I31=TRUE),1,0))</x:f>
        <x:v>0</x:v>
      </x:c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/>
      <x:c r="B32" s="43"/>
      <x:c r="C32" s="43"/>
      <x:c r="D32" s="43"/>
      <x:c r="E32" s="43" t="n">
        <x:v>0</x:v>
      </x:c>
      <x:c r="F32" s="44"/>
      <x:c r="G32" s="43"/>
      <x:c r="H32" s="43"/>
      <x:c r="I32" s="52" t="b">
        <x:v>0</x:v>
      </x:c>
      <x:c r="J32" s="43" t="n">
        <x:f>IF(A32="",0,IF(AND(B32&lt;&gt;"",D32&lt;&gt;"",LEN(D32)=64,E32&gt;0,F32&lt;&gt;"",I32=TRUE),1,0))</x:f>
        <x:v>0</x:v>
      </x:c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/>
      <x:c r="B33" s="43"/>
      <x:c r="C33" s="43"/>
      <x:c r="D33" s="43"/>
      <x:c r="E33" s="43" t="n">
        <x:v>0</x:v>
      </x:c>
      <x:c r="F33" s="44"/>
      <x:c r="G33" s="43"/>
      <x:c r="H33" s="43"/>
      <x:c r="I33" s="52" t="b">
        <x:v>0</x:v>
      </x:c>
      <x:c r="J33" s="43" t="n">
        <x:f>IF(A33="",0,IF(AND(B33&lt;&gt;"",D33&lt;&gt;"",LEN(D33)=64,E33&gt;0,F33&lt;&gt;"",I33=TRUE),1,0))</x:f>
        <x:v>0</x:v>
      </x:c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/>
      <x:c r="B34" s="43"/>
      <x:c r="C34" s="43"/>
      <x:c r="D34" s="43"/>
      <x:c r="E34" s="43" t="n">
        <x:v>0</x:v>
      </x:c>
      <x:c r="F34" s="44"/>
      <x:c r="G34" s="43"/>
      <x:c r="H34" s="43"/>
      <x:c r="I34" s="52" t="b">
        <x:v>0</x:v>
      </x:c>
      <x:c r="J34" s="43" t="n">
        <x:f>IF(A34="",0,IF(AND(B34&lt;&gt;"",D34&lt;&gt;"",LEN(D34)=64,E34&gt;0,F34&lt;&gt;"",I34=TRUE),1,0))</x:f>
        <x:v>0</x:v>
      </x:c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/>
      <x:c r="B35" s="43"/>
      <x:c r="C35" s="43"/>
      <x:c r="D35" s="43"/>
      <x:c r="E35" s="43" t="n">
        <x:v>0</x:v>
      </x:c>
      <x:c r="F35" s="44"/>
      <x:c r="G35" s="43"/>
      <x:c r="H35" s="43"/>
      <x:c r="I35" s="52" t="b">
        <x:v>0</x:v>
      </x:c>
      <x:c r="J35" s="43" t="n">
        <x:f>IF(A35="",0,IF(AND(B35&lt;&gt;"",D35&lt;&gt;"",LEN(D35)=64,E35&gt;0,F35&lt;&gt;"",I35=TRUE),1,0))</x:f>
        <x:v>0</x:v>
      </x:c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/>
      <x:c r="B36" s="43"/>
      <x:c r="C36" s="43"/>
      <x:c r="D36" s="43"/>
      <x:c r="E36" s="43" t="n">
        <x:v>0</x:v>
      </x:c>
      <x:c r="F36" s="44"/>
      <x:c r="G36" s="43"/>
      <x:c r="H36" s="43"/>
      <x:c r="I36" s="52" t="b">
        <x:v>0</x:v>
      </x:c>
      <x:c r="J36" s="43" t="n">
        <x:f>IF(A36="",0,IF(AND(B36&lt;&gt;"",D36&lt;&gt;"",LEN(D36)=64,E36&gt;0,F36&lt;&gt;"",I36=TRUE),1,0))</x:f>
        <x:v>0</x:v>
      </x:c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/>
      <x:c r="B37" s="43"/>
      <x:c r="C37" s="43"/>
      <x:c r="D37" s="43"/>
      <x:c r="E37" s="43" t="n">
        <x:v>0</x:v>
      </x:c>
      <x:c r="F37" s="44"/>
      <x:c r="G37" s="43"/>
      <x:c r="H37" s="43"/>
      <x:c r="I37" s="52" t="b">
        <x:v>0</x:v>
      </x:c>
      <x:c r="J37" s="43" t="n">
        <x:f>IF(A37="",0,IF(AND(B37&lt;&gt;"",D37&lt;&gt;"",LEN(D37)=64,E37&gt;0,F37&lt;&gt;"",I37=TRUE),1,0))</x:f>
        <x:v>0</x:v>
      </x:c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/>
      <x:c r="B38" s="43"/>
      <x:c r="C38" s="43"/>
      <x:c r="D38" s="43"/>
      <x:c r="E38" s="43" t="n">
        <x:v>0</x:v>
      </x:c>
      <x:c r="F38" s="44"/>
      <x:c r="G38" s="43"/>
      <x:c r="H38" s="43"/>
      <x:c r="I38" s="52" t="b">
        <x:v>0</x:v>
      </x:c>
      <x:c r="J38" s="43" t="n">
        <x:f>IF(A38="",0,IF(AND(B38&lt;&gt;"",D38&lt;&gt;"",LEN(D38)=64,E38&gt;0,F38&lt;&gt;"",I38=TRUE),1,0))</x:f>
        <x:v>0</x:v>
      </x:c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/>
      <x:c r="B39" s="43"/>
      <x:c r="C39" s="43"/>
      <x:c r="D39" s="43"/>
      <x:c r="E39" s="43" t="n">
        <x:v>0</x:v>
      </x:c>
      <x:c r="F39" s="44"/>
      <x:c r="G39" s="43"/>
      <x:c r="H39" s="43"/>
      <x:c r="I39" s="52" t="b">
        <x:v>0</x:v>
      </x:c>
      <x:c r="J39" s="43" t="n">
        <x:f>IF(A39="",0,IF(AND(B39&lt;&gt;"",D39&lt;&gt;"",LEN(D39)=64,E39&gt;0,F39&lt;&gt;"",I39=TRUE),1,0))</x:f>
        <x:v>0</x:v>
      </x:c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/>
      <x:c r="B40" s="43"/>
      <x:c r="C40" s="43"/>
      <x:c r="D40" s="43"/>
      <x:c r="E40" s="43" t="n">
        <x:v>0</x:v>
      </x:c>
      <x:c r="F40" s="44"/>
      <x:c r="G40" s="43"/>
      <x:c r="H40" s="43"/>
      <x:c r="I40" s="52" t="b">
        <x:v>0</x:v>
      </x:c>
      <x:c r="J40" s="43" t="n">
        <x:f>IF(A40="",0,IF(AND(B40&lt;&gt;"",D40&lt;&gt;"",LEN(D40)=64,E40&gt;0,F40&lt;&gt;"",I40=TRUE),1,0))</x:f>
        <x:v>0</x:v>
      </x:c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/>
      <x:c r="B41" s="43"/>
      <x:c r="C41" s="43"/>
      <x:c r="D41" s="43"/>
      <x:c r="E41" s="43" t="n">
        <x:v>0</x:v>
      </x:c>
      <x:c r="F41" s="44"/>
      <x:c r="G41" s="43"/>
      <x:c r="H41" s="43"/>
      <x:c r="I41" s="52" t="b">
        <x:v>0</x:v>
      </x:c>
      <x:c r="J41" s="43" t="n">
        <x:f>IF(A41="",0,IF(AND(B41&lt;&gt;"",D41&lt;&gt;"",LEN(D41)=64,E41&gt;0,F41&lt;&gt;"",I41=TRUE),1,0))</x:f>
        <x:v>0</x:v>
      </x:c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/>
      <x:c r="B42" s="43"/>
      <x:c r="C42" s="43"/>
      <x:c r="D42" s="43"/>
      <x:c r="E42" s="43" t="n">
        <x:v>0</x:v>
      </x:c>
      <x:c r="F42" s="44"/>
      <x:c r="G42" s="43"/>
      <x:c r="H42" s="43"/>
      <x:c r="I42" s="52" t="b">
        <x:v>0</x:v>
      </x:c>
      <x:c r="J42" s="43" t="n">
        <x:f>IF(A42="",0,IF(AND(B42&lt;&gt;"",D42&lt;&gt;"",LEN(D42)=64,E42&gt;0,F42&lt;&gt;"",I42=TRUE),1,0))</x:f>
        <x:v>0</x:v>
      </x:c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/>
      <x:c r="B43" s="43"/>
      <x:c r="C43" s="43"/>
      <x:c r="D43" s="43"/>
      <x:c r="E43" s="43" t="n">
        <x:v>0</x:v>
      </x:c>
      <x:c r="F43" s="44"/>
      <x:c r="G43" s="43"/>
      <x:c r="H43" s="43"/>
      <x:c r="I43" s="52" t="b">
        <x:v>0</x:v>
      </x:c>
      <x:c r="J43" s="43" t="n">
        <x:f>IF(A43="",0,IF(AND(B43&lt;&gt;"",D43&lt;&gt;"",LEN(D43)=64,E43&gt;0,F43&lt;&gt;"",I43=TRUE),1,0))</x:f>
        <x:v>0</x:v>
      </x:c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/>
      <x:c r="B44" s="43"/>
      <x:c r="C44" s="43"/>
      <x:c r="D44" s="43"/>
      <x:c r="E44" s="43" t="n">
        <x:v>0</x:v>
      </x:c>
      <x:c r="F44" s="44"/>
      <x:c r="G44" s="43"/>
      <x:c r="H44" s="43"/>
      <x:c r="I44" s="52" t="b">
        <x:v>0</x:v>
      </x:c>
      <x:c r="J44" s="43" t="n">
        <x:f>IF(A44="",0,IF(AND(B44&lt;&gt;"",D44&lt;&gt;"",LEN(D44)=64,E44&gt;0,F44&lt;&gt;"",I44=TRUE),1,0))</x:f>
        <x:v>0</x:v>
      </x:c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/>
      <x:c r="B45" s="43"/>
      <x:c r="C45" s="43"/>
      <x:c r="D45" s="43"/>
      <x:c r="E45" s="43" t="n">
        <x:v>0</x:v>
      </x:c>
      <x:c r="F45" s="44"/>
      <x:c r="G45" s="43"/>
      <x:c r="H45" s="43"/>
      <x:c r="I45" s="52" t="b">
        <x:v>0</x:v>
      </x:c>
      <x:c r="J45" s="43" t="n">
        <x:f>IF(A45="",0,IF(AND(B45&lt;&gt;"",D45&lt;&gt;"",LEN(D45)=64,E45&gt;0,F45&lt;&gt;"",I45=TRUE),1,0))</x:f>
        <x:v>0</x:v>
      </x:c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/>
      <x:c r="B46" s="43"/>
      <x:c r="C46" s="43"/>
      <x:c r="D46" s="43"/>
      <x:c r="E46" s="43" t="n">
        <x:v>0</x:v>
      </x:c>
      <x:c r="F46" s="44"/>
      <x:c r="G46" s="43"/>
      <x:c r="H46" s="43"/>
      <x:c r="I46" s="52" t="b">
        <x:v>0</x:v>
      </x:c>
      <x:c r="J46" s="43" t="n">
        <x:f>IF(A46="",0,IF(AND(B46&lt;&gt;"",D46&lt;&gt;"",LEN(D46)=64,E46&gt;0,F46&lt;&gt;"",I46=TRUE),1,0))</x:f>
        <x:v>0</x:v>
      </x:c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/>
      <x:c r="B47" s="43"/>
      <x:c r="C47" s="43"/>
      <x:c r="D47" s="43"/>
      <x:c r="E47" s="43" t="n">
        <x:v>0</x:v>
      </x:c>
      <x:c r="F47" s="44"/>
      <x:c r="G47" s="43"/>
      <x:c r="H47" s="43"/>
      <x:c r="I47" s="52" t="b">
        <x:v>0</x:v>
      </x:c>
      <x:c r="J47" s="43" t="n">
        <x:f>IF(A47="",0,IF(AND(B47&lt;&gt;"",D47&lt;&gt;"",LEN(D47)=64,E47&gt;0,F47&lt;&gt;"",I47=TRUE),1,0))</x:f>
        <x:v>0</x:v>
      </x:c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/>
      <x:c r="B48" s="43"/>
      <x:c r="C48" s="43"/>
      <x:c r="D48" s="43"/>
      <x:c r="E48" s="43" t="n">
        <x:v>0</x:v>
      </x:c>
      <x:c r="F48" s="44"/>
      <x:c r="G48" s="43"/>
      <x:c r="H48" s="43"/>
      <x:c r="I48" s="52" t="b">
        <x:v>0</x:v>
      </x:c>
      <x:c r="J48" s="43" t="n">
        <x:f>IF(A48="",0,IF(AND(B48&lt;&gt;"",D48&lt;&gt;"",LEN(D48)=64,E48&gt;0,F48&lt;&gt;"",I48=TRUE),1,0))</x:f>
        <x:v>0</x:v>
      </x:c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/>
      <x:c r="B49" s="43"/>
      <x:c r="C49" s="43"/>
      <x:c r="D49" s="43"/>
      <x:c r="E49" s="43" t="n">
        <x:v>0</x:v>
      </x:c>
      <x:c r="F49" s="44"/>
      <x:c r="G49" s="43"/>
      <x:c r="H49" s="43"/>
      <x:c r="I49" s="52" t="b">
        <x:v>0</x:v>
      </x:c>
      <x:c r="J49" s="43" t="n">
        <x:f>IF(A49="",0,IF(AND(B49&lt;&gt;"",D49&lt;&gt;"",LEN(D49)=64,E49&gt;0,F49&lt;&gt;"",I49=TRUE),1,0))</x:f>
        <x:v>0</x:v>
      </x:c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/>
      <x:c r="B50" s="43"/>
      <x:c r="C50" s="43"/>
      <x:c r="D50" s="43"/>
      <x:c r="E50" s="43" t="n">
        <x:v>0</x:v>
      </x:c>
      <x:c r="F50" s="44"/>
      <x:c r="G50" s="43"/>
      <x:c r="H50" s="43"/>
      <x:c r="I50" s="52" t="b">
        <x:v>0</x:v>
      </x:c>
      <x:c r="J50" s="43" t="n">
        <x:f>IF(A50="",0,IF(AND(B50&lt;&gt;"",D50&lt;&gt;"",LEN(D50)=64,E50&gt;0,F50&lt;&gt;"",I50=TRUE),1,0))</x:f>
        <x:v>0</x:v>
      </x:c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/>
      <x:c r="B51" s="43"/>
      <x:c r="C51" s="43"/>
      <x:c r="D51" s="43"/>
      <x:c r="E51" s="43" t="n">
        <x:v>0</x:v>
      </x:c>
      <x:c r="F51" s="44"/>
      <x:c r="G51" s="43"/>
      <x:c r="H51" s="43"/>
      <x:c r="I51" s="52" t="b">
        <x:v>0</x:v>
      </x:c>
      <x:c r="J51" s="43" t="n">
        <x:f>IF(A51="",0,IF(AND(B51&lt;&gt;"",D51&lt;&gt;"",LEN(D51)=64,E51&gt;0,F51&lt;&gt;"",I51=TRUE),1,0))</x:f>
        <x:v>0</x:v>
      </x:c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/>
      <x:c r="B52" s="43"/>
      <x:c r="C52" s="43"/>
      <x:c r="D52" s="43"/>
      <x:c r="E52" s="43" t="n">
        <x:v>0</x:v>
      </x:c>
      <x:c r="F52" s="44"/>
      <x:c r="G52" s="43"/>
      <x:c r="H52" s="43"/>
      <x:c r="I52" s="52" t="b">
        <x:v>0</x:v>
      </x:c>
      <x:c r="J52" s="43" t="n">
        <x:f>IF(A52="",0,IF(AND(B52&lt;&gt;"",D52&lt;&gt;"",LEN(D52)=64,E52&gt;0,F52&lt;&gt;"",I52=TRUE),1,0))</x:f>
        <x:v>0</x:v>
      </x:c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/>
      <x:c r="B53" s="43"/>
      <x:c r="C53" s="43"/>
      <x:c r="D53" s="43"/>
      <x:c r="E53" s="43" t="n">
        <x:v>0</x:v>
      </x:c>
      <x:c r="F53" s="44"/>
      <x:c r="G53" s="43"/>
      <x:c r="H53" s="43"/>
      <x:c r="I53" s="52" t="b">
        <x:v>0</x:v>
      </x:c>
      <x:c r="J53" s="43" t="n">
        <x:f>IF(A53="",0,IF(AND(B53&lt;&gt;"",D53&lt;&gt;"",LEN(D53)=64,E53&gt;0,F53&lt;&gt;"",I53=TRUE),1,0))</x:f>
        <x:v>0</x:v>
      </x:c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/>
      <x:c r="B54" s="43"/>
      <x:c r="C54" s="43"/>
      <x:c r="D54" s="43"/>
      <x:c r="E54" s="43" t="n">
        <x:v>0</x:v>
      </x:c>
      <x:c r="F54" s="44"/>
      <x:c r="G54" s="43"/>
      <x:c r="H54" s="43"/>
      <x:c r="I54" s="52" t="b">
        <x:v>0</x:v>
      </x:c>
      <x:c r="J54" s="43" t="n">
        <x:f>IF(A54="",0,IF(AND(B54&lt;&gt;"",D54&lt;&gt;"",LEN(D54)=64,E54&gt;0,F54&lt;&gt;"",I54=TRUE),1,0))</x:f>
        <x:v>0</x:v>
      </x:c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J2"/>
  </x:mergeCells>
  <x:dataValidations count="1">
    <x:dataValidation type="list" sqref="I5:I54">
      <x:formula1>_Lists!$C$2:$C$3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4e4c87a9ba4ac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3" max="3" width="22" hidden="0" customWidth="1"/>
    <x:col min="4" max="4" width="22" hidden="0" customWidth="1"/>
    <x:col min="5" max="5" width="12" hidden="0" customWidth="1"/>
    <x:col min="6" max="6" width="60" hidden="0" customWidth="1"/>
    <x:col min="7" max="7" width="20" hidden="0" customWidth="1"/>
    <x:col min="8" max="8" width="14" hidden="0" customWidth="1"/>
    <x:col min="9" max="9" width="20" hidden="0" customWidth="1"/>
    <x:col min="10" max="10" width="12" hidden="0" customWidth="1"/>
  </x:cols>
  <x:sheetData>
    <x:row r="1">
      <x:c r="A1" s="40" t="str">
        <x:v>التغذية الراجعة المرمزة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Feedback Code</x:v>
      </x:c>
      <x:c r="B4" s="50" t="str">
        <x:v>Respondent Token</x:v>
      </x:c>
      <x:c r="C4" s="50" t="str">
        <x:v>Role Code</x:v>
      </x:c>
      <x:c r="D4" s="50" t="str">
        <x:v>Category</x:v>
      </x:c>
      <x:c r="E4" s="50" t="str">
        <x:v>Rating 1-5</x:v>
      </x:c>
      <x:c r="F4" s="50" t="str">
        <x:v>Comment</x:v>
      </x:c>
      <x:c r="G4" s="50" t="str">
        <x:v>Contains Patient Data</x:v>
      </x:c>
      <x:c r="H4" s="50" t="str">
        <x:v>Status</x:v>
      </x:c>
      <x:c r="I4" s="50" t="str">
        <x:v>Recorded At</x:v>
      </x:c>
      <x:c r="J4" s="50" t="str">
        <x:v>Ready Flag</x:v>
      </x:c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/>
      <x:c r="E5" s="43"/>
      <x:c r="F5" s="43"/>
      <x:c r="G5" s="52" t="b">
        <x:v>0</x:v>
      </x:c>
      <x:c r="H5" s="43" t="str">
        <x:v>Recorded</x:v>
      </x:c>
      <x:c r="I5" s="44"/>
      <x:c r="J5" s="43" t="n">
        <x:f>IF(A5="",0,IF(AND(LEN(B5)=64,D5&lt;&gt;"",E5&gt;=1,E5&lt;=5,G5=FALSE,I5&lt;&gt;""),1,0))</x:f>
        <x:v>0</x:v>
      </x:c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/>
      <x:c r="E6" s="43"/>
      <x:c r="F6" s="43"/>
      <x:c r="G6" s="52" t="b">
        <x:v>0</x:v>
      </x:c>
      <x:c r="H6" s="43" t="str">
        <x:v>Recorded</x:v>
      </x:c>
      <x:c r="I6" s="44"/>
      <x:c r="J6" s="43" t="n">
        <x:f>IF(A6="",0,IF(AND(LEN(B6)=64,D6&lt;&gt;"",E6&gt;=1,E6&lt;=5,G6=FALSE,I6&lt;&gt;""),1,0))</x:f>
        <x:v>0</x:v>
      </x:c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/>
      <x:c r="E7" s="43"/>
      <x:c r="F7" s="43"/>
      <x:c r="G7" s="52" t="b">
        <x:v>0</x:v>
      </x:c>
      <x:c r="H7" s="43" t="str">
        <x:v>Recorded</x:v>
      </x:c>
      <x:c r="I7" s="44"/>
      <x:c r="J7" s="43" t="n">
        <x:f>IF(A7="",0,IF(AND(LEN(B7)=64,D7&lt;&gt;"",E7&gt;=1,E7&lt;=5,G7=FALSE,I7&lt;&gt;""),1,0))</x:f>
        <x:v>0</x:v>
      </x:c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/>
      <x:c r="E8" s="43"/>
      <x:c r="F8" s="43"/>
      <x:c r="G8" s="52" t="b">
        <x:v>0</x:v>
      </x:c>
      <x:c r="H8" s="43" t="str">
        <x:v>Recorded</x:v>
      </x:c>
      <x:c r="I8" s="44"/>
      <x:c r="J8" s="43" t="n">
        <x:f>IF(A8="",0,IF(AND(LEN(B8)=64,D8&lt;&gt;"",E8&gt;=1,E8&lt;=5,G8=FALSE,I8&lt;&gt;""),1,0))</x:f>
        <x:v>0</x:v>
      </x:c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/>
      <x:c r="E9" s="43"/>
      <x:c r="F9" s="43"/>
      <x:c r="G9" s="52" t="b">
        <x:v>0</x:v>
      </x:c>
      <x:c r="H9" s="43" t="str">
        <x:v>Recorded</x:v>
      </x:c>
      <x:c r="I9" s="44"/>
      <x:c r="J9" s="43" t="n">
        <x:f>IF(A9="",0,IF(AND(LEN(B9)=64,D9&lt;&gt;"",E9&gt;=1,E9&lt;=5,G9=FALSE,I9&lt;&gt;""),1,0))</x:f>
        <x:v>0</x:v>
      </x:c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/>
      <x:c r="E10" s="43"/>
      <x:c r="F10" s="43"/>
      <x:c r="G10" s="52" t="b">
        <x:v>0</x:v>
      </x:c>
      <x:c r="H10" s="43" t="str">
        <x:v>Recorded</x:v>
      </x:c>
      <x:c r="I10" s="44"/>
      <x:c r="J10" s="43" t="n">
        <x:f>IF(A10="",0,IF(AND(LEN(B10)=64,D10&lt;&gt;"",E10&gt;=1,E10&lt;=5,G10=FALSE,I10&lt;&gt;""),1,0))</x:f>
        <x:v>0</x:v>
      </x:c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/>
      <x:c r="E11" s="43"/>
      <x:c r="F11" s="43"/>
      <x:c r="G11" s="52" t="b">
        <x:v>0</x:v>
      </x:c>
      <x:c r="H11" s="43" t="str">
        <x:v>Recorded</x:v>
      </x:c>
      <x:c r="I11" s="44"/>
      <x:c r="J11" s="43" t="n">
        <x:f>IF(A11="",0,IF(AND(LEN(B11)=64,D11&lt;&gt;"",E11&gt;=1,E11&lt;=5,G11=FALSE,I11&lt;&gt;""),1,0))</x:f>
        <x:v>0</x:v>
      </x:c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/>
      <x:c r="E12" s="43"/>
      <x:c r="F12" s="43"/>
      <x:c r="G12" s="52" t="b">
        <x:v>0</x:v>
      </x:c>
      <x:c r="H12" s="43" t="str">
        <x:v>Recorded</x:v>
      </x:c>
      <x:c r="I12" s="44"/>
      <x:c r="J12" s="43" t="n">
        <x:f>IF(A12="",0,IF(AND(LEN(B12)=64,D12&lt;&gt;"",E12&gt;=1,E12&lt;=5,G12=FALSE,I12&lt;&gt;""),1,0))</x:f>
        <x:v>0</x:v>
      </x:c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/>
      <x:c r="E13" s="43"/>
      <x:c r="F13" s="43"/>
      <x:c r="G13" s="52" t="b">
        <x:v>0</x:v>
      </x:c>
      <x:c r="H13" s="43" t="str">
        <x:v>Recorded</x:v>
      </x:c>
      <x:c r="I13" s="44"/>
      <x:c r="J13" s="43" t="n">
        <x:f>IF(A13="",0,IF(AND(LEN(B13)=64,D13&lt;&gt;"",E13&gt;=1,E13&lt;=5,G13=FALSE,I13&lt;&gt;""),1,0))</x:f>
        <x:v>0</x:v>
      </x:c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/>
      <x:c r="E14" s="43"/>
      <x:c r="F14" s="43"/>
      <x:c r="G14" s="52" t="b">
        <x:v>0</x:v>
      </x:c>
      <x:c r="H14" s="43" t="str">
        <x:v>Recorded</x:v>
      </x:c>
      <x:c r="I14" s="44"/>
      <x:c r="J14" s="43" t="n">
        <x:f>IF(A14="",0,IF(AND(LEN(B14)=64,D14&lt;&gt;"",E14&gt;=1,E14&lt;=5,G14=FALSE,I14&lt;&gt;""),1,0))</x:f>
        <x:v>0</x:v>
      </x:c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3"/>
      <x:c r="D15" s="43"/>
      <x:c r="E15" s="43"/>
      <x:c r="F15" s="43"/>
      <x:c r="G15" s="52" t="b">
        <x:v>0</x:v>
      </x:c>
      <x:c r="H15" s="43" t="str">
        <x:v>Recorded</x:v>
      </x:c>
      <x:c r="I15" s="44"/>
      <x:c r="J15" s="43" t="n">
        <x:f>IF(A15="",0,IF(AND(LEN(B15)=64,D15&lt;&gt;"",E15&gt;=1,E15&lt;=5,G15=FALSE,I15&lt;&gt;""),1,0))</x:f>
        <x:v>0</x:v>
      </x:c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3"/>
      <x:c r="D16" s="43"/>
      <x:c r="E16" s="43"/>
      <x:c r="F16" s="43"/>
      <x:c r="G16" s="52" t="b">
        <x:v>0</x:v>
      </x:c>
      <x:c r="H16" s="43" t="str">
        <x:v>Recorded</x:v>
      </x:c>
      <x:c r="I16" s="44"/>
      <x:c r="J16" s="43" t="n">
        <x:f>IF(A16="",0,IF(AND(LEN(B16)=64,D16&lt;&gt;"",E16&gt;=1,E16&lt;=5,G16=FALSE,I16&lt;&gt;""),1,0))</x:f>
        <x:v>0</x:v>
      </x:c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3"/>
      <x:c r="D17" s="43"/>
      <x:c r="E17" s="43"/>
      <x:c r="F17" s="43"/>
      <x:c r="G17" s="52" t="b">
        <x:v>0</x:v>
      </x:c>
      <x:c r="H17" s="43" t="str">
        <x:v>Recorded</x:v>
      </x:c>
      <x:c r="I17" s="44"/>
      <x:c r="J17" s="43" t="n">
        <x:f>IF(A17="",0,IF(AND(LEN(B17)=64,D17&lt;&gt;"",E17&gt;=1,E17&lt;=5,G17=FALSE,I17&lt;&gt;""),1,0))</x:f>
        <x:v>0</x:v>
      </x:c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3"/>
      <x:c r="D18" s="43"/>
      <x:c r="E18" s="43"/>
      <x:c r="F18" s="43"/>
      <x:c r="G18" s="52" t="b">
        <x:v>0</x:v>
      </x:c>
      <x:c r="H18" s="43" t="str">
        <x:v>Recorded</x:v>
      </x:c>
      <x:c r="I18" s="44"/>
      <x:c r="J18" s="43" t="n">
        <x:f>IF(A18="",0,IF(AND(LEN(B18)=64,D18&lt;&gt;"",E18&gt;=1,E18&lt;=5,G18=FALSE,I18&lt;&gt;""),1,0))</x:f>
        <x:v>0</x:v>
      </x:c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3"/>
      <x:c r="D19" s="43"/>
      <x:c r="E19" s="43"/>
      <x:c r="F19" s="43"/>
      <x:c r="G19" s="52" t="b">
        <x:v>0</x:v>
      </x:c>
      <x:c r="H19" s="43" t="str">
        <x:v>Recorded</x:v>
      </x:c>
      <x:c r="I19" s="44"/>
      <x:c r="J19" s="43" t="n">
        <x:f>IF(A19="",0,IF(AND(LEN(B19)=64,D19&lt;&gt;"",E19&gt;=1,E19&lt;=5,G19=FALSE,I19&lt;&gt;""),1,0))</x:f>
        <x:v>0</x:v>
      </x:c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3"/>
      <x:c r="D20" s="43"/>
      <x:c r="E20" s="43"/>
      <x:c r="F20" s="43"/>
      <x:c r="G20" s="52" t="b">
        <x:v>0</x:v>
      </x:c>
      <x:c r="H20" s="43" t="str">
        <x:v>Recorded</x:v>
      </x:c>
      <x:c r="I20" s="44"/>
      <x:c r="J20" s="43" t="n">
        <x:f>IF(A20="",0,IF(AND(LEN(B20)=64,D20&lt;&gt;"",E20&gt;=1,E20&lt;=5,G20=FALSE,I20&lt;&gt;""),1,0))</x:f>
        <x:v>0</x:v>
      </x:c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3"/>
      <x:c r="D21" s="43"/>
      <x:c r="E21" s="43"/>
      <x:c r="F21" s="43"/>
      <x:c r="G21" s="52" t="b">
        <x:v>0</x:v>
      </x:c>
      <x:c r="H21" s="43" t="str">
        <x:v>Recorded</x:v>
      </x:c>
      <x:c r="I21" s="44"/>
      <x:c r="J21" s="43" t="n">
        <x:f>IF(A21="",0,IF(AND(LEN(B21)=64,D21&lt;&gt;"",E21&gt;=1,E21&lt;=5,G21=FALSE,I21&lt;&gt;""),1,0))</x:f>
        <x:v>0</x:v>
      </x:c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3"/>
      <x:c r="D22" s="43"/>
      <x:c r="E22" s="43"/>
      <x:c r="F22" s="43"/>
      <x:c r="G22" s="52" t="b">
        <x:v>0</x:v>
      </x:c>
      <x:c r="H22" s="43" t="str">
        <x:v>Recorded</x:v>
      </x:c>
      <x:c r="I22" s="44"/>
      <x:c r="J22" s="43" t="n">
        <x:f>IF(A22="",0,IF(AND(LEN(B22)=64,D22&lt;&gt;"",E22&gt;=1,E22&lt;=5,G22=FALSE,I22&lt;&gt;""),1,0))</x:f>
        <x:v>0</x:v>
      </x:c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3"/>
      <x:c r="D23" s="43"/>
      <x:c r="E23" s="43"/>
      <x:c r="F23" s="43"/>
      <x:c r="G23" s="52" t="b">
        <x:v>0</x:v>
      </x:c>
      <x:c r="H23" s="43" t="str">
        <x:v>Recorded</x:v>
      </x:c>
      <x:c r="I23" s="44"/>
      <x:c r="J23" s="43" t="n">
        <x:f>IF(A23="",0,IF(AND(LEN(B23)=64,D23&lt;&gt;"",E23&gt;=1,E23&lt;=5,G23=FALSE,I23&lt;&gt;""),1,0))</x:f>
        <x:v>0</x:v>
      </x:c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3"/>
      <x:c r="D24" s="43"/>
      <x:c r="E24" s="43"/>
      <x:c r="F24" s="43"/>
      <x:c r="G24" s="52" t="b">
        <x:v>0</x:v>
      </x:c>
      <x:c r="H24" s="43" t="str">
        <x:v>Recorded</x:v>
      </x:c>
      <x:c r="I24" s="44"/>
      <x:c r="J24" s="43" t="n">
        <x:f>IF(A24="",0,IF(AND(LEN(B24)=64,D24&lt;&gt;"",E24&gt;=1,E24&lt;=5,G24=FALSE,I24&lt;&gt;""),1,0))</x:f>
        <x:v>0</x:v>
      </x:c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/>
      <x:c r="B25" s="43"/>
      <x:c r="C25" s="43"/>
      <x:c r="D25" s="43"/>
      <x:c r="E25" s="43"/>
      <x:c r="F25" s="43"/>
      <x:c r="G25" s="52" t="b">
        <x:v>0</x:v>
      </x:c>
      <x:c r="H25" s="43" t="str">
        <x:v>Recorded</x:v>
      </x:c>
      <x:c r="I25" s="44"/>
      <x:c r="J25" s="43" t="n">
        <x:f>IF(A25="",0,IF(AND(LEN(B25)=64,D25&lt;&gt;"",E25&gt;=1,E25&lt;=5,G25=FALSE,I25&lt;&gt;""),1,0))</x:f>
        <x:v>0</x:v>
      </x:c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/>
      <x:c r="B26" s="43"/>
      <x:c r="C26" s="43"/>
      <x:c r="D26" s="43"/>
      <x:c r="E26" s="43"/>
      <x:c r="F26" s="43"/>
      <x:c r="G26" s="52" t="b">
        <x:v>0</x:v>
      </x:c>
      <x:c r="H26" s="43" t="str">
        <x:v>Recorded</x:v>
      </x:c>
      <x:c r="I26" s="44"/>
      <x:c r="J26" s="43" t="n">
        <x:f>IF(A26="",0,IF(AND(LEN(B26)=64,D26&lt;&gt;"",E26&gt;=1,E26&lt;=5,G26=FALSE,I26&lt;&gt;""),1,0))</x:f>
        <x:v>0</x:v>
      </x:c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/>
      <x:c r="B27" s="43"/>
      <x:c r="C27" s="43"/>
      <x:c r="D27" s="43"/>
      <x:c r="E27" s="43"/>
      <x:c r="F27" s="43"/>
      <x:c r="G27" s="52" t="b">
        <x:v>0</x:v>
      </x:c>
      <x:c r="H27" s="43" t="str">
        <x:v>Recorded</x:v>
      </x:c>
      <x:c r="I27" s="44"/>
      <x:c r="J27" s="43" t="n">
        <x:f>IF(A27="",0,IF(AND(LEN(B27)=64,D27&lt;&gt;"",E27&gt;=1,E27&lt;=5,G27=FALSE,I27&lt;&gt;""),1,0))</x:f>
        <x:v>0</x:v>
      </x:c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/>
      <x:c r="B28" s="43"/>
      <x:c r="C28" s="43"/>
      <x:c r="D28" s="43"/>
      <x:c r="E28" s="43"/>
      <x:c r="F28" s="43"/>
      <x:c r="G28" s="52" t="b">
        <x:v>0</x:v>
      </x:c>
      <x:c r="H28" s="43" t="str">
        <x:v>Recorded</x:v>
      </x:c>
      <x:c r="I28" s="44"/>
      <x:c r="J28" s="43" t="n">
        <x:f>IF(A28="",0,IF(AND(LEN(B28)=64,D28&lt;&gt;"",E28&gt;=1,E28&lt;=5,G28=FALSE,I28&lt;&gt;""),1,0))</x:f>
        <x:v>0</x:v>
      </x:c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/>
      <x:c r="B29" s="43"/>
      <x:c r="C29" s="43"/>
      <x:c r="D29" s="43"/>
      <x:c r="E29" s="43"/>
      <x:c r="F29" s="43"/>
      <x:c r="G29" s="52" t="b">
        <x:v>0</x:v>
      </x:c>
      <x:c r="H29" s="43" t="str">
        <x:v>Recorded</x:v>
      </x:c>
      <x:c r="I29" s="44"/>
      <x:c r="J29" s="43" t="n">
        <x:f>IF(A29="",0,IF(AND(LEN(B29)=64,D29&lt;&gt;"",E29&gt;=1,E29&lt;=5,G29=FALSE,I29&lt;&gt;""),1,0))</x:f>
        <x:v>0</x:v>
      </x:c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/>
      <x:c r="B30" s="43"/>
      <x:c r="C30" s="43"/>
      <x:c r="D30" s="43"/>
      <x:c r="E30" s="43"/>
      <x:c r="F30" s="43"/>
      <x:c r="G30" s="52" t="b">
        <x:v>0</x:v>
      </x:c>
      <x:c r="H30" s="43" t="str">
        <x:v>Recorded</x:v>
      </x:c>
      <x:c r="I30" s="44"/>
      <x:c r="J30" s="43" t="n">
        <x:f>IF(A30="",0,IF(AND(LEN(B30)=64,D30&lt;&gt;"",E30&gt;=1,E30&lt;=5,G30=FALSE,I30&lt;&gt;""),1,0))</x:f>
        <x:v>0</x:v>
      </x:c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/>
      <x:c r="B31" s="43"/>
      <x:c r="C31" s="43"/>
      <x:c r="D31" s="43"/>
      <x:c r="E31" s="43"/>
      <x:c r="F31" s="43"/>
      <x:c r="G31" s="52" t="b">
        <x:v>0</x:v>
      </x:c>
      <x:c r="H31" s="43" t="str">
        <x:v>Recorded</x:v>
      </x:c>
      <x:c r="I31" s="44"/>
      <x:c r="J31" s="43" t="n">
        <x:f>IF(A31="",0,IF(AND(LEN(B31)=64,D31&lt;&gt;"",E31&gt;=1,E31&lt;=5,G31=FALSE,I31&lt;&gt;""),1,0))</x:f>
        <x:v>0</x:v>
      </x:c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/>
      <x:c r="B32" s="43"/>
      <x:c r="C32" s="43"/>
      <x:c r="D32" s="43"/>
      <x:c r="E32" s="43"/>
      <x:c r="F32" s="43"/>
      <x:c r="G32" s="52" t="b">
        <x:v>0</x:v>
      </x:c>
      <x:c r="H32" s="43" t="str">
        <x:v>Recorded</x:v>
      </x:c>
      <x:c r="I32" s="44"/>
      <x:c r="J32" s="43" t="n">
        <x:f>IF(A32="",0,IF(AND(LEN(B32)=64,D32&lt;&gt;"",E32&gt;=1,E32&lt;=5,G32=FALSE,I32&lt;&gt;""),1,0))</x:f>
        <x:v>0</x:v>
      </x:c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/>
      <x:c r="B33" s="43"/>
      <x:c r="C33" s="43"/>
      <x:c r="D33" s="43"/>
      <x:c r="E33" s="43"/>
      <x:c r="F33" s="43"/>
      <x:c r="G33" s="52" t="b">
        <x:v>0</x:v>
      </x:c>
      <x:c r="H33" s="43" t="str">
        <x:v>Recorded</x:v>
      </x:c>
      <x:c r="I33" s="44"/>
      <x:c r="J33" s="43" t="n">
        <x:f>IF(A33="",0,IF(AND(LEN(B33)=64,D33&lt;&gt;"",E33&gt;=1,E33&lt;=5,G33=FALSE,I33&lt;&gt;""),1,0))</x:f>
        <x:v>0</x:v>
      </x:c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/>
      <x:c r="B34" s="43"/>
      <x:c r="C34" s="43"/>
      <x:c r="D34" s="43"/>
      <x:c r="E34" s="43"/>
      <x:c r="F34" s="43"/>
      <x:c r="G34" s="52" t="b">
        <x:v>0</x:v>
      </x:c>
      <x:c r="H34" s="43" t="str">
        <x:v>Recorded</x:v>
      </x:c>
      <x:c r="I34" s="44"/>
      <x:c r="J34" s="43" t="n">
        <x:f>IF(A34="",0,IF(AND(LEN(B34)=64,D34&lt;&gt;"",E34&gt;=1,E34&lt;=5,G34=FALSE,I34&lt;&gt;""),1,0))</x:f>
        <x:v>0</x:v>
      </x:c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/>
      <x:c r="B35" s="43"/>
      <x:c r="C35" s="43"/>
      <x:c r="D35" s="43"/>
      <x:c r="E35" s="43"/>
      <x:c r="F35" s="43"/>
      <x:c r="G35" s="52" t="b">
        <x:v>0</x:v>
      </x:c>
      <x:c r="H35" s="43" t="str">
        <x:v>Recorded</x:v>
      </x:c>
      <x:c r="I35" s="44"/>
      <x:c r="J35" s="43" t="n">
        <x:f>IF(A35="",0,IF(AND(LEN(B35)=64,D35&lt;&gt;"",E35&gt;=1,E35&lt;=5,G35=FALSE,I35&lt;&gt;""),1,0))</x:f>
        <x:v>0</x:v>
      </x:c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/>
      <x:c r="B36" s="43"/>
      <x:c r="C36" s="43"/>
      <x:c r="D36" s="43"/>
      <x:c r="E36" s="43"/>
      <x:c r="F36" s="43"/>
      <x:c r="G36" s="52" t="b">
        <x:v>0</x:v>
      </x:c>
      <x:c r="H36" s="43" t="str">
        <x:v>Recorded</x:v>
      </x:c>
      <x:c r="I36" s="44"/>
      <x:c r="J36" s="43" t="n">
        <x:f>IF(A36="",0,IF(AND(LEN(B36)=64,D36&lt;&gt;"",E36&gt;=1,E36&lt;=5,G36=FALSE,I36&lt;&gt;""),1,0))</x:f>
        <x:v>0</x:v>
      </x:c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/>
      <x:c r="B37" s="43"/>
      <x:c r="C37" s="43"/>
      <x:c r="D37" s="43"/>
      <x:c r="E37" s="43"/>
      <x:c r="F37" s="43"/>
      <x:c r="G37" s="52" t="b">
        <x:v>0</x:v>
      </x:c>
      <x:c r="H37" s="43" t="str">
        <x:v>Recorded</x:v>
      </x:c>
      <x:c r="I37" s="44"/>
      <x:c r="J37" s="43" t="n">
        <x:f>IF(A37="",0,IF(AND(LEN(B37)=64,D37&lt;&gt;"",E37&gt;=1,E37&lt;=5,G37=FALSE,I37&lt;&gt;""),1,0))</x:f>
        <x:v>0</x:v>
      </x:c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/>
      <x:c r="B38" s="43"/>
      <x:c r="C38" s="43"/>
      <x:c r="D38" s="43"/>
      <x:c r="E38" s="43"/>
      <x:c r="F38" s="43"/>
      <x:c r="G38" s="52" t="b">
        <x:v>0</x:v>
      </x:c>
      <x:c r="H38" s="43" t="str">
        <x:v>Recorded</x:v>
      </x:c>
      <x:c r="I38" s="44"/>
      <x:c r="J38" s="43" t="n">
        <x:f>IF(A38="",0,IF(AND(LEN(B38)=64,D38&lt;&gt;"",E38&gt;=1,E38&lt;=5,G38=FALSE,I38&lt;&gt;""),1,0))</x:f>
        <x:v>0</x:v>
      </x:c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/>
      <x:c r="B39" s="43"/>
      <x:c r="C39" s="43"/>
      <x:c r="D39" s="43"/>
      <x:c r="E39" s="43"/>
      <x:c r="F39" s="43"/>
      <x:c r="G39" s="52" t="b">
        <x:v>0</x:v>
      </x:c>
      <x:c r="H39" s="43" t="str">
        <x:v>Recorded</x:v>
      </x:c>
      <x:c r="I39" s="44"/>
      <x:c r="J39" s="43" t="n">
        <x:f>IF(A39="",0,IF(AND(LEN(B39)=64,D39&lt;&gt;"",E39&gt;=1,E39&lt;=5,G39=FALSE,I39&lt;&gt;""),1,0))</x:f>
        <x:v>0</x:v>
      </x:c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/>
      <x:c r="B40" s="43"/>
      <x:c r="C40" s="43"/>
      <x:c r="D40" s="43"/>
      <x:c r="E40" s="43"/>
      <x:c r="F40" s="43"/>
      <x:c r="G40" s="52" t="b">
        <x:v>0</x:v>
      </x:c>
      <x:c r="H40" s="43" t="str">
        <x:v>Recorded</x:v>
      </x:c>
      <x:c r="I40" s="44"/>
      <x:c r="J40" s="43" t="n">
        <x:f>IF(A40="",0,IF(AND(LEN(B40)=64,D40&lt;&gt;"",E40&gt;=1,E40&lt;=5,G40=FALSE,I40&lt;&gt;""),1,0))</x:f>
        <x:v>0</x:v>
      </x:c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/>
      <x:c r="B41" s="43"/>
      <x:c r="C41" s="43"/>
      <x:c r="D41" s="43"/>
      <x:c r="E41" s="43"/>
      <x:c r="F41" s="43"/>
      <x:c r="G41" s="52" t="b">
        <x:v>0</x:v>
      </x:c>
      <x:c r="H41" s="43" t="str">
        <x:v>Recorded</x:v>
      </x:c>
      <x:c r="I41" s="44"/>
      <x:c r="J41" s="43" t="n">
        <x:f>IF(A41="",0,IF(AND(LEN(B41)=64,D41&lt;&gt;"",E41&gt;=1,E41&lt;=5,G41=FALSE,I41&lt;&gt;""),1,0))</x:f>
        <x:v>0</x:v>
      </x:c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/>
      <x:c r="B42" s="43"/>
      <x:c r="C42" s="43"/>
      <x:c r="D42" s="43"/>
      <x:c r="E42" s="43"/>
      <x:c r="F42" s="43"/>
      <x:c r="G42" s="52" t="b">
        <x:v>0</x:v>
      </x:c>
      <x:c r="H42" s="43" t="str">
        <x:v>Recorded</x:v>
      </x:c>
      <x:c r="I42" s="44"/>
      <x:c r="J42" s="43" t="n">
        <x:f>IF(A42="",0,IF(AND(LEN(B42)=64,D42&lt;&gt;"",E42&gt;=1,E42&lt;=5,G42=FALSE,I42&lt;&gt;""),1,0))</x:f>
        <x:v>0</x:v>
      </x:c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/>
      <x:c r="B43" s="43"/>
      <x:c r="C43" s="43"/>
      <x:c r="D43" s="43"/>
      <x:c r="E43" s="43"/>
      <x:c r="F43" s="43"/>
      <x:c r="G43" s="52" t="b">
        <x:v>0</x:v>
      </x:c>
      <x:c r="H43" s="43" t="str">
        <x:v>Recorded</x:v>
      </x:c>
      <x:c r="I43" s="44"/>
      <x:c r="J43" s="43" t="n">
        <x:f>IF(A43="",0,IF(AND(LEN(B43)=64,D43&lt;&gt;"",E43&gt;=1,E43&lt;=5,G43=FALSE,I43&lt;&gt;""),1,0))</x:f>
        <x:v>0</x:v>
      </x:c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/>
      <x:c r="B44" s="43"/>
      <x:c r="C44" s="43"/>
      <x:c r="D44" s="43"/>
      <x:c r="E44" s="43"/>
      <x:c r="F44" s="43"/>
      <x:c r="G44" s="52" t="b">
        <x:v>0</x:v>
      </x:c>
      <x:c r="H44" s="43" t="str">
        <x:v>Recorded</x:v>
      </x:c>
      <x:c r="I44" s="44"/>
      <x:c r="J44" s="43" t="n">
        <x:f>IF(A44="",0,IF(AND(LEN(B44)=64,D44&lt;&gt;"",E44&gt;=1,E44&lt;=5,G44=FALSE,I44&lt;&gt;""),1,0))</x:f>
        <x:v>0</x:v>
      </x:c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/>
      <x:c r="B45" s="43"/>
      <x:c r="C45" s="43"/>
      <x:c r="D45" s="43"/>
      <x:c r="E45" s="43"/>
      <x:c r="F45" s="43"/>
      <x:c r="G45" s="52" t="b">
        <x:v>0</x:v>
      </x:c>
      <x:c r="H45" s="43" t="str">
        <x:v>Recorded</x:v>
      </x:c>
      <x:c r="I45" s="44"/>
      <x:c r="J45" s="43" t="n">
        <x:f>IF(A45="",0,IF(AND(LEN(B45)=64,D45&lt;&gt;"",E45&gt;=1,E45&lt;=5,G45=FALSE,I45&lt;&gt;""),1,0))</x:f>
        <x:v>0</x:v>
      </x:c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/>
      <x:c r="B46" s="43"/>
      <x:c r="C46" s="43"/>
      <x:c r="D46" s="43"/>
      <x:c r="E46" s="43"/>
      <x:c r="F46" s="43"/>
      <x:c r="G46" s="52" t="b">
        <x:v>0</x:v>
      </x:c>
      <x:c r="H46" s="43" t="str">
        <x:v>Recorded</x:v>
      </x:c>
      <x:c r="I46" s="44"/>
      <x:c r="J46" s="43" t="n">
        <x:f>IF(A46="",0,IF(AND(LEN(B46)=64,D46&lt;&gt;"",E46&gt;=1,E46&lt;=5,G46=FALSE,I46&lt;&gt;""),1,0))</x:f>
        <x:v>0</x:v>
      </x:c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/>
      <x:c r="B47" s="43"/>
      <x:c r="C47" s="43"/>
      <x:c r="D47" s="43"/>
      <x:c r="E47" s="43"/>
      <x:c r="F47" s="43"/>
      <x:c r="G47" s="52" t="b">
        <x:v>0</x:v>
      </x:c>
      <x:c r="H47" s="43" t="str">
        <x:v>Recorded</x:v>
      </x:c>
      <x:c r="I47" s="44"/>
      <x:c r="J47" s="43" t="n">
        <x:f>IF(A47="",0,IF(AND(LEN(B47)=64,D47&lt;&gt;"",E47&gt;=1,E47&lt;=5,G47=FALSE,I47&lt;&gt;""),1,0))</x:f>
        <x:v>0</x:v>
      </x:c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/>
      <x:c r="B48" s="43"/>
      <x:c r="C48" s="43"/>
      <x:c r="D48" s="43"/>
      <x:c r="E48" s="43"/>
      <x:c r="F48" s="43"/>
      <x:c r="G48" s="52" t="b">
        <x:v>0</x:v>
      </x:c>
      <x:c r="H48" s="43" t="str">
        <x:v>Recorded</x:v>
      </x:c>
      <x:c r="I48" s="44"/>
      <x:c r="J48" s="43" t="n">
        <x:f>IF(A48="",0,IF(AND(LEN(B48)=64,D48&lt;&gt;"",E48&gt;=1,E48&lt;=5,G48=FALSE,I48&lt;&gt;""),1,0))</x:f>
        <x:v>0</x:v>
      </x:c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/>
      <x:c r="B49" s="43"/>
      <x:c r="C49" s="43"/>
      <x:c r="D49" s="43"/>
      <x:c r="E49" s="43"/>
      <x:c r="F49" s="43"/>
      <x:c r="G49" s="52" t="b">
        <x:v>0</x:v>
      </x:c>
      <x:c r="H49" s="43" t="str">
        <x:v>Recorded</x:v>
      </x:c>
      <x:c r="I49" s="44"/>
      <x:c r="J49" s="43" t="n">
        <x:f>IF(A49="",0,IF(AND(LEN(B49)=64,D49&lt;&gt;"",E49&gt;=1,E49&lt;=5,G49=FALSE,I49&lt;&gt;""),1,0))</x:f>
        <x:v>0</x:v>
      </x:c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/>
      <x:c r="B50" s="43"/>
      <x:c r="C50" s="43"/>
      <x:c r="D50" s="43"/>
      <x:c r="E50" s="43"/>
      <x:c r="F50" s="43"/>
      <x:c r="G50" s="52" t="b">
        <x:v>0</x:v>
      </x:c>
      <x:c r="H50" s="43" t="str">
        <x:v>Recorded</x:v>
      </x:c>
      <x:c r="I50" s="44"/>
      <x:c r="J50" s="43" t="n">
        <x:f>IF(A50="",0,IF(AND(LEN(B50)=64,D50&lt;&gt;"",E50&gt;=1,E50&lt;=5,G50=FALSE,I50&lt;&gt;""),1,0))</x:f>
        <x:v>0</x:v>
      </x:c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/>
      <x:c r="B51" s="43"/>
      <x:c r="C51" s="43"/>
      <x:c r="D51" s="43"/>
      <x:c r="E51" s="43"/>
      <x:c r="F51" s="43"/>
      <x:c r="G51" s="52" t="b">
        <x:v>0</x:v>
      </x:c>
      <x:c r="H51" s="43" t="str">
        <x:v>Recorded</x:v>
      </x:c>
      <x:c r="I51" s="44"/>
      <x:c r="J51" s="43" t="n">
        <x:f>IF(A51="",0,IF(AND(LEN(B51)=64,D51&lt;&gt;"",E51&gt;=1,E51&lt;=5,G51=FALSE,I51&lt;&gt;""),1,0))</x:f>
        <x:v>0</x:v>
      </x:c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/>
      <x:c r="B52" s="43"/>
      <x:c r="C52" s="43"/>
      <x:c r="D52" s="43"/>
      <x:c r="E52" s="43"/>
      <x:c r="F52" s="43"/>
      <x:c r="G52" s="52" t="b">
        <x:v>0</x:v>
      </x:c>
      <x:c r="H52" s="43" t="str">
        <x:v>Recorded</x:v>
      </x:c>
      <x:c r="I52" s="44"/>
      <x:c r="J52" s="43" t="n">
        <x:f>IF(A52="",0,IF(AND(LEN(B52)=64,D52&lt;&gt;"",E52&gt;=1,E52&lt;=5,G52=FALSE,I52&lt;&gt;""),1,0))</x:f>
        <x:v>0</x:v>
      </x:c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/>
      <x:c r="B53" s="43"/>
      <x:c r="C53" s="43"/>
      <x:c r="D53" s="43"/>
      <x:c r="E53" s="43"/>
      <x:c r="F53" s="43"/>
      <x:c r="G53" s="52" t="b">
        <x:v>0</x:v>
      </x:c>
      <x:c r="H53" s="43" t="str">
        <x:v>Recorded</x:v>
      </x:c>
      <x:c r="I53" s="44"/>
      <x:c r="J53" s="43" t="n">
        <x:f>IF(A53="",0,IF(AND(LEN(B53)=64,D53&lt;&gt;"",E53&gt;=1,E53&lt;=5,G53=FALSE,I53&lt;&gt;""),1,0))</x:f>
        <x:v>0</x:v>
      </x:c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/>
      <x:c r="B54" s="43"/>
      <x:c r="C54" s="43"/>
      <x:c r="D54" s="43"/>
      <x:c r="E54" s="43"/>
      <x:c r="F54" s="43"/>
      <x:c r="G54" s="52" t="b">
        <x:v>0</x:v>
      </x:c>
      <x:c r="H54" s="43" t="str">
        <x:v>Recorded</x:v>
      </x:c>
      <x:c r="I54" s="44"/>
      <x:c r="J54" s="43" t="n">
        <x:f>IF(A54="",0,IF(AND(LEN(B54)=64,D54&lt;&gt;"",E54&gt;=1,E54&lt;=5,G54=FALSE,I54&lt;&gt;""),1,0))</x:f>
        <x:v>0</x:v>
      </x:c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J2"/>
  </x:mergeCells>
  <x:dataValidations count="1">
    <x:dataValidation type="list" sqref="G5:G54">
      <x:formula1>_Lists!$C$2:$C$3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e5a33fb41549b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65" hidden="0" customWidth="1"/>
    <x:col min="5" max="5" width="65" hidden="0" customWidth="1"/>
    <x:col min="6" max="6" width="40" hidden="0" customWidth="1"/>
    <x:col min="7" max="7" width="68" hidden="0" customWidth="1"/>
    <x:col min="8" max="8" width="24" hidden="0" customWidth="1"/>
    <x:col min="9" max="9" width="24" hidden="0" customWidth="1"/>
    <x:col min="10" max="10" width="24" hidden="0" customWidth="1"/>
    <x:col min="11" max="11" width="20" hidden="0" customWidth="1"/>
    <x:col min="12" max="12" width="12" hidden="0" customWidth="1"/>
  </x:cols>
  <x:sheetData>
    <x:row r="1">
      <x:c r="A1" s="40" t="str">
        <x:v>تقرير نتائج التجربة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Report Code</x:v>
      </x:c>
      <x:c r="B4" s="50" t="str">
        <x:v>Classification</x:v>
      </x:c>
      <x:c r="C4" s="50" t="str">
        <x:v>Status</x:v>
      </x:c>
      <x:c r="D4" s="50" t="str">
        <x:v>Conclusions</x:v>
      </x:c>
      <x:c r="E4" s="50" t="str">
        <x:v>Limitations</x:v>
      </x:c>
      <x:c r="F4" s="50" t="str">
        <x:v>File URI</x:v>
      </x:c>
      <x:c r="G4" s="50" t="str">
        <x:v>SHA-256</x:v>
      </x:c>
      <x:c r="H4" s="50" t="str">
        <x:v>Generated By</x:v>
      </x:c>
      <x:c r="I4" s="50" t="str">
        <x:v>Approved By</x:v>
      </x:c>
      <x:c r="J4" s="50" t="str">
        <x:v>Published By</x:v>
      </x:c>
      <x:c r="K4" s="50" t="str">
        <x:v>Published Date</x:v>
      </x:c>
      <x:c r="L4" s="50" t="str">
        <x:v>Ready Flag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 t="str">
        <x:v>Synthetic</x:v>
      </x:c>
      <x:c r="C5" s="43" t="str">
        <x:v>Draft</x:v>
      </x:c>
      <x:c r="D5" s="43"/>
      <x:c r="E5" s="43"/>
      <x:c r="F5" s="43"/>
      <x:c r="G5" s="43"/>
      <x:c r="H5" s="43"/>
      <x:c r="I5" s="43"/>
      <x:c r="J5" s="43"/>
      <x:c r="K5" s="44"/>
      <x:c r="L5" s="43" t="n">
        <x:f>IF(A5="",0,IF(AND(C5="Published",LEN(D5)&gt;=30,LEN(E5)&gt;=30,F5&lt;&gt;"",LEN(G5)=64,H5&lt;&gt;"",I5&lt;&gt;"",J5&lt;&gt;"",K5&lt;&gt;""),1,0))</x:f>
        <x:v>0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 t="str">
        <x:v>Synthetic</x:v>
      </x:c>
      <x:c r="C6" s="43" t="str">
        <x:v>Draft</x:v>
      </x:c>
      <x:c r="D6" s="43"/>
      <x:c r="E6" s="43"/>
      <x:c r="F6" s="43"/>
      <x:c r="G6" s="43"/>
      <x:c r="H6" s="43"/>
      <x:c r="I6" s="43"/>
      <x:c r="J6" s="43"/>
      <x:c r="K6" s="44"/>
      <x:c r="L6" s="43" t="n">
        <x:f>IF(A6="",0,IF(AND(C6="Published",LEN(D6)&gt;=30,LEN(E6)&gt;=30,F6&lt;&gt;"",LEN(G6)=64,H6&lt;&gt;"",I6&lt;&gt;"",J6&lt;&gt;"",K6&lt;&gt;""),1,0))</x:f>
        <x:v>0</x:v>
      </x:c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 t="str">
        <x:v>Synthetic</x:v>
      </x:c>
      <x:c r="C7" s="43" t="str">
        <x:v>Draft</x:v>
      </x:c>
      <x:c r="D7" s="43"/>
      <x:c r="E7" s="43"/>
      <x:c r="F7" s="43"/>
      <x:c r="G7" s="43"/>
      <x:c r="H7" s="43"/>
      <x:c r="I7" s="43"/>
      <x:c r="J7" s="43"/>
      <x:c r="K7" s="44"/>
      <x:c r="L7" s="43" t="n">
        <x:f>IF(A7="",0,IF(AND(C7="Published",LEN(D7)&gt;=30,LEN(E7)&gt;=30,F7&lt;&gt;"",LEN(G7)=64,H7&lt;&gt;"",I7&lt;&gt;"",J7&lt;&gt;"",K7&lt;&gt;""),1,0))</x:f>
        <x:v>0</x:v>
      </x:c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 t="str">
        <x:v>Synthetic</x:v>
      </x:c>
      <x:c r="C8" s="43" t="str">
        <x:v>Draft</x:v>
      </x:c>
      <x:c r="D8" s="43"/>
      <x:c r="E8" s="43"/>
      <x:c r="F8" s="43"/>
      <x:c r="G8" s="43"/>
      <x:c r="H8" s="43"/>
      <x:c r="I8" s="43"/>
      <x:c r="J8" s="43"/>
      <x:c r="K8" s="44"/>
      <x:c r="L8" s="43" t="n">
        <x:f>IF(A8="",0,IF(AND(C8="Published",LEN(D8)&gt;=30,LEN(E8)&gt;=30,F8&lt;&gt;"",LEN(G8)=64,H8&lt;&gt;"",I8&lt;&gt;"",J8&lt;&gt;"",K8&lt;&gt;""),1,0))</x:f>
        <x:v>0</x:v>
      </x:c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 t="str">
        <x:v>Synthetic</x:v>
      </x:c>
      <x:c r="C9" s="43" t="str">
        <x:v>Draft</x:v>
      </x:c>
      <x:c r="D9" s="43"/>
      <x:c r="E9" s="43"/>
      <x:c r="F9" s="43"/>
      <x:c r="G9" s="43"/>
      <x:c r="H9" s="43"/>
      <x:c r="I9" s="43"/>
      <x:c r="J9" s="43"/>
      <x:c r="K9" s="44"/>
      <x:c r="L9" s="43" t="n">
        <x:f>IF(A9="",0,IF(AND(C9="Published",LEN(D9)&gt;=30,LEN(E9)&gt;=30,F9&lt;&gt;"",LEN(G9)=64,H9&lt;&gt;"",I9&lt;&gt;"",J9&lt;&gt;"",K9&lt;&gt;""),1,0))</x:f>
        <x:v>0</x:v>
      </x:c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 t="str">
        <x:v>Synthetic</x:v>
      </x:c>
      <x:c r="C10" s="43" t="str">
        <x:v>Draft</x:v>
      </x:c>
      <x:c r="D10" s="43"/>
      <x:c r="E10" s="43"/>
      <x:c r="F10" s="43"/>
      <x:c r="G10" s="43"/>
      <x:c r="H10" s="43"/>
      <x:c r="I10" s="43"/>
      <x:c r="J10" s="43"/>
      <x:c r="K10" s="44"/>
      <x:c r="L10" s="43" t="n">
        <x:f>IF(A10="",0,IF(AND(C10="Published",LEN(D10)&gt;=30,LEN(E10)&gt;=30,F10&lt;&gt;"",LEN(G10)=64,H10&lt;&gt;"",I10&lt;&gt;"",J10&lt;&gt;"",K10&lt;&gt;""),1,0))</x:f>
        <x:v>0</x:v>
      </x:c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 t="str">
        <x:v>Synthetic</x:v>
      </x:c>
      <x:c r="C11" s="43" t="str">
        <x:v>Draft</x:v>
      </x:c>
      <x:c r="D11" s="43"/>
      <x:c r="E11" s="43"/>
      <x:c r="F11" s="43"/>
      <x:c r="G11" s="43"/>
      <x:c r="H11" s="43"/>
      <x:c r="I11" s="43"/>
      <x:c r="J11" s="43"/>
      <x:c r="K11" s="44"/>
      <x:c r="L11" s="43" t="n">
        <x:f>IF(A11="",0,IF(AND(C11="Published",LEN(D11)&gt;=30,LEN(E11)&gt;=30,F11&lt;&gt;"",LEN(G11)=64,H11&lt;&gt;"",I11&lt;&gt;"",J11&lt;&gt;"",K11&lt;&gt;""),1,0))</x:f>
        <x:v>0</x:v>
      </x:c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 t="str">
        <x:v>Synthetic</x:v>
      </x:c>
      <x:c r="C12" s="43" t="str">
        <x:v>Draft</x:v>
      </x:c>
      <x:c r="D12" s="43"/>
      <x:c r="E12" s="43"/>
      <x:c r="F12" s="43"/>
      <x:c r="G12" s="43"/>
      <x:c r="H12" s="43"/>
      <x:c r="I12" s="43"/>
      <x:c r="J12" s="43"/>
      <x:c r="K12" s="44"/>
      <x:c r="L12" s="43" t="n">
        <x:f>IF(A12="",0,IF(AND(C12="Published",LEN(D12)&gt;=30,LEN(E12)&gt;=30,F12&lt;&gt;"",LEN(G12)=64,H12&lt;&gt;"",I12&lt;&gt;"",J12&lt;&gt;"",K12&lt;&gt;""),1,0))</x:f>
        <x:v>0</x:v>
      </x:c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 t="str">
        <x:v>Synthetic</x:v>
      </x:c>
      <x:c r="C13" s="43" t="str">
        <x:v>Draft</x:v>
      </x:c>
      <x:c r="D13" s="43"/>
      <x:c r="E13" s="43"/>
      <x:c r="F13" s="43"/>
      <x:c r="G13" s="43"/>
      <x:c r="H13" s="43"/>
      <x:c r="I13" s="43"/>
      <x:c r="J13" s="43"/>
      <x:c r="K13" s="44"/>
      <x:c r="L13" s="43" t="n">
        <x:f>IF(A13="",0,IF(AND(C13="Published",LEN(D13)&gt;=30,LEN(E13)&gt;=30,F13&lt;&gt;"",LEN(G13)=64,H13&lt;&gt;"",I13&lt;&gt;"",J13&lt;&gt;"",K13&lt;&gt;""),1,0))</x:f>
        <x:v>0</x:v>
      </x:c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 t="str">
        <x:v>Synthetic</x:v>
      </x:c>
      <x:c r="C14" s="43" t="str">
        <x:v>Draft</x:v>
      </x:c>
      <x:c r="D14" s="43"/>
      <x:c r="E14" s="43"/>
      <x:c r="F14" s="43"/>
      <x:c r="G14" s="43"/>
      <x:c r="H14" s="43"/>
      <x:c r="I14" s="43"/>
      <x:c r="J14" s="43"/>
      <x:c r="K14" s="44"/>
      <x:c r="L14" s="43" t="n">
        <x:f>IF(A14="",0,IF(AND(C14="Published",LEN(D14)&gt;=30,LEN(E14)&gt;=30,F14&lt;&gt;"",LEN(G14)=64,H14&lt;&gt;"",I14&lt;&gt;"",J14&lt;&gt;"",K14&lt;&gt;""),1,0))</x:f>
        <x:v>0</x:v>
      </x:c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L2"/>
  </x:mergeCells>
  <x:dataValidations count="2">
    <x:dataValidation type="list" sqref="B5:B14">
      <x:formula1>_Lists!$D$2:$D$3</x:formula1>
    </x:dataValidation>
    <x:dataValidation type="list" sqref="C5:C14">
      <x:formula1>_Lists!$H$2:$H$4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8c51ac28104d4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4" max="4" width="28" hidden="0" customWidth="1"/>
    <x:col min="5" max="5" width="58" hidden="0" customWidth="1"/>
    <x:col min="6" max="6" width="45" hidden="0" customWidth="1"/>
    <x:col min="7" max="7" width="24" hidden="0" customWidth="1"/>
    <x:col min="8" max="8" width="14" hidden="0" customWidth="1"/>
  </x:cols>
  <x:sheetData>
    <x:row r="1">
      <x:c r="A1" s="40" t="str">
        <x:v>لوحة تنفيذ التجربة المؤسسية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Indicator</x:v>
      </x:c>
      <x:c r="B4" s="50" t="str">
        <x:v>Value</x:v>
      </x:c>
      <x:c r="C4" s="43"/>
      <x:c r="D4" s="50" t="str">
        <x:v>Decision</x:v>
      </x:c>
      <x:c r="E4" s="50" t="str">
        <x:v>Rationale</x:v>
      </x:c>
      <x:c r="F4" s="50" t="str">
        <x:v>Conditions</x:v>
      </x:c>
      <x:c r="G4" s="50" t="str">
        <x:v>Approved By</x:v>
      </x:c>
      <x:c r="H4" s="50" t="str">
        <x:v>Date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Pilot Mode</x:v>
      </x:c>
      <x:c r="B5" s="43" t="str">
        <x:f>Pilot_Charter!B8</x:f>
        <x:v>Synthetic</x:v>
      </x:c>
      <x:c r="C5" s="43"/>
      <x:c r="D5" s="43" t="str">
        <x:v>Continue Preparation</x:v>
      </x:c>
      <x:c r="E5" s="43"/>
      <x:c r="F5" s="43"/>
      <x:c r="G5" s="43"/>
      <x:c r="H5" s="5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Pilot Status</x:v>
      </x:c>
      <x:c r="B6" s="43" t="str">
        <x:f>Pilot_Charter!B9</x:f>
        <x:v>Draft</x:v>
      </x:c>
      <x:c r="C6" s="43"/>
      <x:c r="D6" s="43"/>
      <x:c r="E6" s="43"/>
      <x:c r="F6" s="43"/>
      <x:c r="G6" s="43"/>
      <x:c r="H6" s="43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>
        <x:v>Verified Identities</x:v>
      </x:c>
      <x:c r="B7" s="43" t="n">
        <x:f>SUM(Identity_Bindings!N5:N24)</x:f>
        <x:v>0</x:v>
      </x:c>
      <x:c r="C7" s="43"/>
      <x:c r="D7" s="43"/>
      <x:c r="E7" s="43"/>
      <x:c r="F7" s="43"/>
      <x:c r="G7" s="43"/>
      <x:c r="H7" s="43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>
        <x:v>Ready Data Sources</x:v>
      </x:c>
      <x:c r="B8" s="43" t="n">
        <x:f>SUM(Data_Provenance!N5:N24)</x:f>
        <x:v>0</x:v>
      </x:c>
      <x:c r="C8" s="43"/>
      <x:c r="D8" s="43"/>
      <x:c r="E8" s="43"/>
      <x:c r="F8" s="43"/>
      <x:c r="G8" s="43"/>
      <x:c r="H8" s="43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>
        <x:v>Completed Governed Sessions</x:v>
      </x:c>
      <x:c r="B9" s="43" t="n">
        <x:f>SUM(Session_Execution!M5:M24)</x:f>
        <x:v>0</x:v>
      </x:c>
      <x:c r="C9" s="43"/>
      <x:c r="D9" s="43"/>
      <x:c r="E9" s="43"/>
      <x:c r="F9" s="43"/>
      <x:c r="G9" s="43"/>
      <x:c r="H9" s="43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>
        <x:v>Decisions</x:v>
      </x:c>
      <x:c r="B10" s="43" t="n">
        <x:f>SUM(Session_Execution!H5:H24)</x:f>
        <x:v>0</x:v>
      </x:c>
      <x:c r="C10" s="43"/>
      <x:c r="D10" s="43"/>
      <x:c r="E10" s="43"/>
      <x:c r="F10" s="43"/>
      <x:c r="G10" s="43"/>
      <x:c r="H10" s="43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>
        <x:v>Quality Reviews</x:v>
      </x:c>
      <x:c r="B11" s="43" t="n">
        <x:f>SUM(Session_Execution!I5:I24)</x:f>
        <x:v>0</x:v>
      </x:c>
      <x:c r="C11" s="43"/>
      <x:c r="D11" s="43"/>
      <x:c r="E11" s="43"/>
      <x:c r="F11" s="43"/>
      <x:c r="G11" s="43"/>
      <x:c r="H11" s="43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>
        <x:v>Measured Metrics</x:v>
      </x:c>
      <x:c r="B12" s="43" t="n">
        <x:f>SUM(Outcome_Metrics!N5:N7)</x:f>
        <x:v>0</x:v>
      </x:c>
      <x:c r="C12" s="43"/>
      <x:c r="D12" s="43"/>
      <x:c r="E12" s="43"/>
      <x:c r="F12" s="43"/>
      <x:c r="G12" s="43"/>
      <x:c r="H12" s="43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>
        <x:v>Target Met Metrics</x:v>
      </x:c>
      <x:c r="B13" s="43" t="n">
        <x:f>COUNTIF(Outcome_Metrics!I5:I7,"TargetMet")</x:f>
        <x:v>0</x:v>
      </x:c>
      <x:c r="C13" s="43"/>
      <x:c r="D13" s="43"/>
      <x:c r="E13" s="43"/>
      <x:c r="F13" s="43"/>
      <x:c r="G13" s="43"/>
      <x:c r="H13" s="43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>
        <x:v>Adoption Events</x:v>
      </x:c>
      <x:c r="B14" s="43" t="n">
        <x:f>SUMIF(Adoption_Events!A5:A54,"?*",Adoption_Events!E5:E54)</x:f>
        <x:v>0</x:v>
      </x:c>
      <x:c r="C14" s="43"/>
      <x:c r="D14" s="43"/>
      <x:c r="E14" s="43"/>
      <x:c r="F14" s="43"/>
      <x:c r="G14" s="43"/>
      <x:c r="H14" s="43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>
        <x:v>Feedback Records</x:v>
      </x:c>
      <x:c r="B15" s="43" t="n">
        <x:f>COUNTIF(Feedback!A5:A54,"?*")</x:f>
        <x:v>0</x:v>
      </x:c>
      <x:c r="C15" s="43"/>
      <x:c r="D15" s="43"/>
      <x:c r="E15" s="43"/>
      <x:c r="F15" s="43"/>
      <x:c r="G15" s="43"/>
      <x:c r="H15" s="43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>
        <x:v>Published Reports</x:v>
      </x:c>
      <x:c r="B16" s="43" t="n">
        <x:f>SUM(Outcome_Report!L5:L14)</x:f>
        <x:v>0</x:v>
      </x:c>
      <x:c r="C16" s="43"/>
      <x:c r="D16" s="43"/>
      <x:c r="E16" s="43"/>
      <x:c r="F16" s="43"/>
      <x:c r="G16" s="43"/>
      <x:c r="H16" s="43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>
        <x:v>Institutional Pilot Ready</x:v>
      </x:c>
      <x:c r="B17" s="43" t="str">
        <x:f>IF(AND(B5="Institutional",B6="Completed",B7&gt;=3,B8&gt;=1,B9&gt;=1,B10&gt;0,B11&gt;=B10,B12&gt;=1,B16&gt;=1),"YES","NO")</x:f>
        <x:v>NO</x:v>
      </x:c>
      <x:c r="C17" s="43"/>
      <x:c r="D17" s="43"/>
      <x:c r="E17" s="43"/>
      <x:c r="F17" s="43"/>
      <x:c r="G17" s="43"/>
      <x:c r="H17" s="43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>
        <x:v>Recommended Decision</x:v>
      </x:c>
      <x:c r="B18" s="43" t="str">
        <x:f>IF(B17="YES","Publish Institutional Pilot Outcome","Complete Real Identity, Provenance, Session, Quality and Report Evidence")</x:f>
        <x:v>Complete Real Identity, Provenance, Session, Quality and Report Evidence</x:v>
      </x:c>
      <x:c r="C18" s="43"/>
      <x:c r="D18" s="43"/>
      <x:c r="E18" s="43"/>
      <x:c r="F18" s="43"/>
      <x:c r="G18" s="43"/>
      <x:c r="H18" s="43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H2"/>
  </x:mergeCells>
  <x:conditionalFormatting sqref="B17:B18">
    <x:cfRule type="expression" dxfId="0" priority="1">
      <x:formula>B17="NO"</x:formula>
    </x:cfRule>
    <x:cfRule type="expression" dxfId="1" priority="2">
      <x:formula>B17="YES"</x:formula>
    </x:cfRule>
  </x:conditionalFormatting>
  <x:pageMargins left="0.7" right="0.7" top="0.75" bottom="0.75" header="0.3" footer="0.3"/>
  <x:drawing xmlns:r="http://schemas.openxmlformats.org/officeDocument/2006/relationships" r:id="R70148d1f6ffd441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RunMode</x:v>
      </x:c>
      <x:c r="B1" t="str">
        <x:v>RunStatus</x:v>
      </x:c>
      <x:c r="C1" t="str">
        <x:v>YesNo</x:v>
      </x:c>
      <x:c r="D1" t="str">
        <x:v>SourceClass</x:v>
      </x:c>
      <x:c r="E1" t="str">
        <x:v>SessionStatus</x:v>
      </x:c>
      <x:c r="F1" t="str">
        <x:v>MetricDirection</x:v>
      </x:c>
      <x:c r="G1" t="str">
        <x:v>MetricStatus</x:v>
      </x:c>
      <x:c r="H1" t="str">
        <x:v>ReportStatus</x:v>
      </x:c>
    </x:row>
    <x:row r="2">
      <x:c r="A2" t="str">
        <x:v>Synthetic</x:v>
      </x:c>
      <x:c r="B2" t="str">
        <x:v>Draft</x:v>
      </x:c>
      <x:c r="C2" t="n">
        <x:v>0</x:v>
      </x:c>
      <x:c r="D2" t="str">
        <x:v>Synthetic</x:v>
      </x:c>
      <x:c r="E2" t="str">
        <x:v>Planned</x:v>
      </x:c>
      <x:c r="F2" t="str">
        <x:v>HigherIsBetter</x:v>
      </x:c>
      <x:c r="G2" t="str">
        <x:v>NotMeasured</x:v>
      </x:c>
      <x:c r="H2" t="str">
        <x:v>Draft</x:v>
      </x:c>
    </x:row>
    <x:row r="3">
      <x:c r="A3" t="str">
        <x:v>Institutional</x:v>
      </x:c>
      <x:c r="B3" t="str">
        <x:v>Ready</x:v>
      </x:c>
      <x:c r="C3" t="n">
        <x:v>1</x:v>
      </x:c>
      <x:c r="D3" t="str">
        <x:v>Institutional</x:v>
      </x:c>
      <x:c r="E3" t="str">
        <x:v>Active</x:v>
      </x:c>
      <x:c r="F3" t="str">
        <x:v>LowerIsBetter</x:v>
      </x:c>
      <x:c r="G3" t="str">
        <x:v>TargetMet</x:v>
      </x:c>
      <x:c r="H3" t="str">
        <x:v>Approved</x:v>
      </x:c>
    </x:row>
    <x:row r="4">
      <x:c r="A4" t="str"/>
      <x:c r="B4" t="str">
        <x:v>Active</x:v>
      </x:c>
      <x:c r="C4" t="str"/>
      <x:c r="D4" t="str"/>
      <x:c r="E4" t="str">
        <x:v>Completed</x:v>
      </x:c>
      <x:c r="F4" t="str">
        <x:v>TargetRange</x:v>
      </x:c>
      <x:c r="G4" t="str">
        <x:v>BelowTarget</x:v>
      </x:c>
      <x:c r="H4" t="str">
        <x:v>Published</x:v>
      </x:c>
    </x:row>
    <x:row r="5">
      <x:c r="A5" t="str"/>
      <x:c r="B5" t="str">
        <x:v>Observation</x:v>
      </x:c>
      <x:c r="C5" t="str"/>
      <x:c r="D5" t="str"/>
      <x:c r="E5" t="str">
        <x:v>Cancelled</x:v>
      </x:c>
      <x:c r="F5" t="str"/>
      <x:c r="G5" t="str"/>
      <x:c r="H5" t="str"/>
    </x:row>
    <x:row r="6">
      <x:c r="A6" t="str"/>
      <x:c r="B6" t="str">
        <x:v>Completed</x:v>
      </x:c>
      <x:c r="C6" t="str"/>
      <x:c r="D6" t="str"/>
      <x:c r="E6" t="str"/>
      <x:c r="F6" t="str"/>
      <x:c r="G6" t="str"/>
      <x:c r="H6" t="str"/>
    </x:row>
    <x:row r="7">
      <x:c r="A7" t="str"/>
      <x:c r="B7" t="str">
        <x:v>RolledBack</x:v>
      </x:c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</x:sheetData>
  <x:pageMargins left="0.7" right="0.7" top="0.75" bottom="0.75" header="0.3" footer="0.3"/>
</x:worksheet>
</file>