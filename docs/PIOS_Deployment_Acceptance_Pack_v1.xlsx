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8f0ee00a3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2d7916276e4f13"/>
    <x:sheet xmlns:r="http://schemas.openxmlformats.org/officeDocument/2006/relationships" name="Environment" sheetId="2" r:id="R8e0c26e1b2e0495a"/>
    <x:sheet xmlns:r="http://schemas.openxmlformats.org/officeDocument/2006/relationships" name="Acceptance_Checks" sheetId="3" r:id="R48555afb9ff742c6"/>
    <x:sheet xmlns:r="http://schemas.openxmlformats.org/officeDocument/2006/relationships" name="Backup_Restore" sheetId="4" r:id="Rf048f44147e54847"/>
    <x:sheet xmlns:r="http://schemas.openxmlformats.org/officeDocument/2006/relationships" name="OIDC_Validation" sheetId="5" r:id="R39a03d76c41b4d56"/>
    <x:sheet xmlns:r="http://schemas.openxmlformats.org/officeDocument/2006/relationships" name="Evidence_Index" sheetId="6" r:id="Rcab76bfcb98649ff"/>
    <x:sheet xmlns:r="http://schemas.openxmlformats.org/officeDocument/2006/relationships" name="Go_NoGo" sheetId="7" r:id="Rbd988dea706e4e68"/>
    <x:sheet xmlns:r="http://schemas.openxmlformats.org/officeDocument/2006/relationships" name="_Lists" sheetId="8" r:id="R228fa23272eb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6C"/>
      <x:name val="Carlito"/>
    </x:font>
    <x:font>
      <x:b/>
      <x:sz val="11"/>
      <x:color rgb="FF15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EAF5F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6706482a64c7a" /><Relationship Type="http://schemas.openxmlformats.org/officeDocument/2006/relationships/theme" Target="/xl/theme/theme1.xml" Id="R4f1b6b6f919f41fe" /><Relationship Type="http://schemas.microsoft.com/office/2022/11/relationships/FeaturePropertyBag" Target="/xl/featurePropertyBag/featurePropertyBag.xml" Id="R0fb3e657238a4a7a" /><Relationship Type="http://schemas.openxmlformats.org/officeDocument/2006/relationships/sharedStrings" Target="/xl/sharedStrings.xml" Id="Rde8befe8b7a44ba7" /><Relationship Type="http://schemas.openxmlformats.org/officeDocument/2006/relationships/worksheet" Target="/xl/worksheets/sheet1.xml" Id="R122d7916276e4f13" /><Relationship Type="http://schemas.openxmlformats.org/officeDocument/2006/relationships/worksheet" Target="/xl/worksheets/sheet2.xml" Id="R8e0c26e1b2e0495a" /><Relationship Type="http://schemas.openxmlformats.org/officeDocument/2006/relationships/worksheet" Target="/xl/worksheets/sheet3.xml" Id="R48555afb9ff742c6" /><Relationship Type="http://schemas.openxmlformats.org/officeDocument/2006/relationships/worksheet" Target="/xl/worksheets/sheet4.xml" Id="Rf048f44147e54847" /><Relationship Type="http://schemas.openxmlformats.org/officeDocument/2006/relationships/worksheet" Target="/xl/worksheets/sheet5.xml" Id="R39a03d76c41b4d56" /><Relationship Type="http://schemas.openxmlformats.org/officeDocument/2006/relationships/worksheet" Target="/xl/worksheets/sheet6.xml" Id="Rcab76bfcb98649ff" /><Relationship Type="http://schemas.openxmlformats.org/officeDocument/2006/relationships/worksheet" Target="/xl/worksheets/sheet7.xml" Id="Rbd988dea706e4e68" /><Relationship Type="http://schemas.openxmlformats.org/officeDocument/2006/relationships/worksheet" Target="/xl/worksheets/sheet8.xml" Id="R228fa23272eb4d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f111a534f641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Deployment Acceptance Indicators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'Go_NoGo'!$A$5:$A$8</c:f>
              <c:strCache>
                <c:ptCount val="0"/>
              </c:strCache>
            </c:strRef>
          </c:cat>
          <c:val>
            <c:numRef>
              <c:f>'Go_NoGo'!$B$5:$B$8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f111a534f641f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vironmentTable" displayName="EnvironmentTable" ref="A4:B19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AcceptanceChecksTable" displayName="AcceptanceChecksTable" ref="A4:K28" headerRowCount="1">
  <x:tableColumns count="11">
    <x:tableColumn id="1" name="Check Code"/>
    <x:tableColumn id="2" name="Category"/>
    <x:tableColumn id="3" name="Mode"/>
    <x:tableColumn id="4" name="Required"/>
    <x:tableColumn id="5" name="Expected"/>
    <x:tableColumn id="6" name="Status"/>
    <x:tableColumn id="7" name="Measured Value"/>
    <x:tableColumn id="8" name="Evidence Reference"/>
    <x:tableColumn id="9" name="Owner"/>
    <x:tableColumn id="10" name="Checked Date"/>
    <x:tableColumn id="11" name="Ready Flag"/>
  </x:tableColumns>
  <x:tableStyleInfo name="TableStyleMedium2" showRowStripes="1"/>
</x:table>
</file>

<file path=xl/tables/table3.xml><?xml version="1.0" encoding="utf-8"?>
<x:table xmlns:x="http://schemas.openxmlformats.org/spreadsheetml/2006/main" id="3" name="GoLiveEvidenceTable" displayName="GoLiveEvidenceTable" ref="A4:F16" headerRowCount="1">
  <x:tableColumns count="6">
    <x:tableColumn id="1" name="Evidence ID"/>
    <x:tableColumn id="2" name="Required Evidence"/>
    <x:tableColumn id="3" name="Owner"/>
    <x:tableColumn id="4" name="Status"/>
    <x:tableColumn id="5" name="Referenc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37008b2eac45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1be531bf174f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e8609257bec4b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ba21e76a8b646a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18" hidden="0" customHeight="1">
      <x:c r="A1" s="36" t="str">
        <x:v>PIOS - حزمة قبول النشر المؤسسي</x:v>
      </x:c>
      <x:c r="B1" s="36"/>
      <x:c r="C1" s="36"/>
      <x:c r="D1" s="36"/>
      <x:c r="E1" s="36"/>
      <x:c r="F1" s="36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8" hidden="0" customHeight="1">
      <x:c r="A2" s="36"/>
      <x:c r="B2" s="36"/>
      <x:c r="C2" s="36"/>
      <x:c r="D2" s="36"/>
      <x:c r="E2" s="36"/>
      <x:c r="F2" s="36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15" hidden="0" customHeight="1">
      <x:c r="A4" s="38" t="str">
        <x:v>البند</x:v>
      </x:c>
      <x:c r="B4" s="39" t="str">
        <x:v>الوصف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15" hidden="0" customHeight="1">
      <x:c r="A5" s="38" t="str">
        <x:v>الغرض</x:v>
      </x:c>
      <x:c r="B5" s="39" t="str">
        <x:v>تسجيل بيئة النشر، تنفيذ 24 فحص قبول، توثيق OIDC والنسخ والاستعادة، ودعم قرار Go/No-Go.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 ht="15" hidden="0" customHeight="1">
      <x:c r="A6" s="38" t="str">
        <x:v>تنبيه</x:v>
      </x:c>
      <x:c r="B6" s="39" t="str">
        <x:v>هذه الحزمة لا تثبت قبول مستشفى طريف قبل تعبئة الأدلة الحقيقية واعتمادها.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 ht="15" hidden="0" customHeight="1">
      <x:c r="A7" s="38" t="str">
        <x:v>قاعدة التشغيل</x:v>
      </x:c>
      <x:c r="B7" s="39" t="str">
        <x:v>أي فحص مطلوب بحالة Pending أوBlocked أوFail يمنع Go.</x:v>
      </x:c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 ht="15" hidden="0" customHeight="1">
      <x:c r="A8" s="38" t="str">
        <x:v>قاعدة الأمن</x:v>
      </x:c>
      <x:c r="B8" s="39" t="str">
        <x:v>Dev Tokens وLocal Storage غير مقبولين في Pilot/Staging/Production.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 ht="15" hidden="0" customHeight="1">
      <x:c r="A9" s="38" t="str">
        <x:v>قاعدة الاستعادة</x:v>
      </x:c>
      <x:c r="B9" s="39" t="str">
        <x:v>وجود Backup دون Restore ناجح لا يحقق الفحص.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 ht="15" hidden="0" customHeight="1">
      <x:c r="A10" s="38" t="str">
        <x:v>قاعدة الهوية</x:v>
      </x:c>
      <x:c r="B10" s="39" t="str">
        <x:v>يلزم التحقق من issuer وaudience وJWKS والتوقيع والانتهاء وroles وsites.</x:v>
      </x:c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 ht="15" hidden="0" customHeight="1">
      <x:c r="A11" s="38" t="str">
        <x:v>الإصدار</x:v>
      </x:c>
      <x:c r="B11" s="39" t="str">
        <x:v>Sprint 6 / Full Stack v0.7</x:v>
      </x:c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 ht="15" hidden="0" customHeight="1">
      <x:c r="A12" s="38" t="str">
        <x:v>تاريخ الإنشاء</x:v>
      </x:c>
      <x:c r="B12" s="40" t="n">
        <x:v>46235</x:v>
      </x:c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>
      <x:c r="A1" s="36" t="str">
        <x:v>تعريف بيئة النشر والإصدار</x:v>
      </x:c>
      <x:c r="B1" s="36"/>
      <x:c r="C1" s="36"/>
      <x:c r="D1" s="36"/>
      <x:c r="E1" s="36"/>
      <x:c r="F1" s="36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Field</x:v>
      </x:c>
      <x:c r="B4" s="46" t="str">
        <x:v>Value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8" t="str">
        <x:v>Environment Code</x:v>
      </x:c>
      <x:c r="B5" s="39" t="str">
        <x:v>tgh-pilot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8" t="str">
        <x:v>Environment Name</x:v>
      </x:c>
      <x:c r="B6" s="39" t="str">
        <x:v>Turaif PIOS Pilot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8" t="str">
        <x:v>Environment Type</x:v>
      </x:c>
      <x:c r="B7" s="39" t="str">
        <x:v>Pilot</x:v>
      </x:c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8" t="str">
        <x:v>Site Code</x:v>
      </x:c>
      <x:c r="B8" s="39" t="str">
        <x:v>TGH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8" t="str">
        <x:v>API Base URL</x:v>
      </x:c>
      <x:c r="B9" s="39" t="str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8" t="str">
        <x:v>Frontend Base URL</x:v>
      </x:c>
      <x:c r="B10" s="39" t="str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8" t="str">
        <x:v>Database</x:v>
      </x:c>
      <x:c r="B11" s="39" t="str">
        <x:v>PostgreSQL 16</x:v>
      </x:c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8" t="str">
        <x:v>Object Storage</x:v>
      </x:c>
      <x:c r="B12" s="39" t="str">
        <x:v>S3/MinIO Private</x:v>
      </x:c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8" t="str">
        <x:v>Auth Mode</x:v>
      </x:c>
      <x:c r="B13" s="39" t="str">
        <x:v>OIDC</x:v>
      </x:c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8" t="str">
        <x:v>OIDC Issuer</x:v>
      </x:c>
      <x:c r="B14" s="39" t="str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8" t="str">
        <x:v>Release Version</x:v>
      </x:c>
      <x:c r="B15" s="39" t="str">
        <x:v>0.7.0</x:v>
      </x:c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8" t="str">
        <x:v>Release SHA</x:v>
      </x:c>
      <x:c r="B16" s="39" t="str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8" t="str">
        <x:v>TLS Enabled</x:v>
      </x:c>
      <x:c r="B17" s="47" t="b">
        <x:v>0</x:v>
      </x:c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8" t="str">
        <x:v>Monitoring Enabled</x:v>
      </x:c>
      <x:c r="B18" s="47" t="b">
        <x:v>0</x:v>
      </x:c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8" t="str">
        <x:v>Backup Policy Reference</x:v>
      </x:c>
      <x:c r="B19" s="39" t="str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F2"/>
  </x:mergeCells>
  <x:dataValidations count="1">
    <x:dataValidation type="list" sqref="B7">
      <x:formula1>_Lists!$D$2:$D$5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37008b2eac45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52" hidden="0" customWidth="1"/>
    <x:col min="6" max="6" width="13" hidden="0" customWidth="1"/>
    <x:col min="7" max="7" width="28" hidden="0" customWidth="1"/>
    <x:col min="8" max="8" width="35" hidden="0" customWidth="1"/>
    <x:col min="9" max="9" width="22" hidden="0" customWidth="1"/>
    <x:col min="10" max="10" width="14" hidden="0" customWidth="1"/>
    <x:col min="11" max="11" width="10" hidden="0" customWidth="1"/>
  </x:cols>
  <x:sheetData>
    <x:row r="1">
      <x:c r="A1" s="36" t="str">
        <x:v>سجل فحوص قبول النشر - 24 فحصًا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Check Code</x:v>
      </x:c>
      <x:c r="B4" s="46" t="str">
        <x:v>Category</x:v>
      </x:c>
      <x:c r="C4" s="46" t="str">
        <x:v>Mode</x:v>
      </x:c>
      <x:c r="D4" s="46" t="str">
        <x:v>Required</x:v>
      </x:c>
      <x:c r="E4" s="46" t="str">
        <x:v>Expected</x:v>
      </x:c>
      <x:c r="F4" s="46" t="str">
        <x:v>Status</x:v>
      </x:c>
      <x:c r="G4" s="46" t="str">
        <x:v>Measured Value</x:v>
      </x:c>
      <x:c r="H4" s="46" t="str">
        <x:v>Evidence Reference</x:v>
      </x:c>
      <x:c r="I4" s="46" t="str">
        <x:v>Owner</x:v>
      </x:c>
      <x:c r="J4" s="46" t="str">
        <x:v>Checked Date</x:v>
      </x:c>
      <x:c r="K4" s="46" t="str">
        <x:v>Ready Flag</x:v>
      </x:c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API_HEALTH</x:v>
      </x:c>
      <x:c r="B5" s="39" t="str">
        <x:v>Platform</x:v>
      </x:c>
      <x:c r="C5" s="39" t="str">
        <x:v>Automated</x:v>
      </x:c>
      <x:c r="D5" s="47" t="b">
        <x:v>1</x:v>
      </x:c>
      <x:c r="E5" s="39" t="str">
        <x:v>API responds and exposes immutable release metadata</x:v>
      </x:c>
      <x:c r="F5" s="39" t="str">
        <x:v>Pending</x:v>
      </x:c>
      <x:c r="G5" s="39" t="str"/>
      <x:c r="H5" s="39" t="str"/>
      <x:c r="I5" s="39" t="str"/>
      <x:c r="J5" s="40" t="str"/>
      <x:c r="K5" s="39" t="n">
        <x:f>IF(OR(F5="Pass",F5="Waived"),1,0)</x:f>
        <x:v>0</x:v>
      </x:c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DATABASE_REACHABLE</x:v>
      </x:c>
      <x:c r="B6" s="39" t="str">
        <x:v>Database</x:v>
      </x:c>
      <x:c r="C6" s="39" t="str">
        <x:v>Automated</x:v>
      </x:c>
      <x:c r="D6" s="47" t="b">
        <x:v>1</x:v>
      </x:c>
      <x:c r="E6" s="39" t="str">
        <x:v>Database connection succeeds</x:v>
      </x:c>
      <x:c r="F6" s="39" t="str">
        <x:v>Pending</x:v>
      </x:c>
      <x:c r="G6" s="39" t="str"/>
      <x:c r="H6" s="39" t="str"/>
      <x:c r="I6" s="39" t="str"/>
      <x:c r="J6" s="40" t="str"/>
      <x:c r="K6" s="39" t="n">
        <x:f>IF(OR(F6="Pass",F6="Waived"),1,0)</x:f>
        <x:v>0</x:v>
      </x:c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SCHEMA_TABLES_PRESENT</x:v>
      </x:c>
      <x:c r="B7" s="39" t="str">
        <x:v>Database</x:v>
      </x:c>
      <x:c r="C7" s="39" t="str">
        <x:v>Automated</x:v>
      </x:c>
      <x:c r="D7" s="47" t="b">
        <x:v>1</x:v>
      </x:c>
      <x:c r="E7" s="39" t="str">
        <x:v>Expected 42-table model is present</x:v>
      </x:c>
      <x:c r="F7" s="39" t="str">
        <x:v>Pending</x:v>
      </x:c>
      <x:c r="G7" s="39" t="str"/>
      <x:c r="H7" s="39" t="str"/>
      <x:c r="I7" s="39" t="str"/>
      <x:c r="J7" s="40" t="str"/>
      <x:c r="K7" s="39" t="n">
        <x:f>IF(OR(F7="Pass",F7="Waived"),1,0)</x:f>
        <x:v>0</x:v>
      </x:c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BASELINE_COUNTS_VALID</x:v>
      </x:c>
      <x:c r="B8" s="39" t="str">
        <x:v>Data</x:v>
      </x:c>
      <x:c r="C8" s="39" t="str">
        <x:v>Automated</x:v>
      </x:c>
      <x:c r="D8" s="47" t="b">
        <x:v>1</x:v>
      </x:c>
      <x:c r="E8" s="39" t="str">
        <x:v>41 standards, 266 MEs, 63 clauses, 75 documents, 12 UAT scenarios</x:v>
      </x:c>
      <x:c r="F8" s="39" t="str">
        <x:v>Pending</x:v>
      </x:c>
      <x:c r="G8" s="39" t="str"/>
      <x:c r="H8" s="39" t="str"/>
      <x:c r="I8" s="39" t="str"/>
      <x:c r="J8" s="40" t="str"/>
      <x:c r="K8" s="39" t="n">
        <x:f>IF(OR(F8="Pass",F8="Waived"),1,0)</x:f>
        <x:v>0</x:v>
      </x:c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MIGRATIONS_APPLIED</x:v>
      </x:c>
      <x:c r="B9" s="39" t="str">
        <x:v>Database</x:v>
      </x:c>
      <x:c r="C9" s="39" t="str">
        <x:v>Manual</x:v>
      </x:c>
      <x:c r="D9" s="47" t="b">
        <x:v>1</x:v>
      </x:c>
      <x:c r="E9" s="39" t="str">
        <x:v>Alembic head 0006 is applied</x:v>
      </x:c>
      <x:c r="F9" s="39" t="str">
        <x:v>Pending</x:v>
      </x:c>
      <x:c r="G9" s="39" t="str"/>
      <x:c r="H9" s="39" t="str"/>
      <x:c r="I9" s="39" t="str"/>
      <x:c r="J9" s="40" t="str"/>
      <x:c r="K9" s="39" t="n">
        <x:f>IF(OR(F9="Pass",F9="Waived"),1,0)</x:f>
        <x:v>0</x:v>
      </x:c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OBJECT_STORAGE_CONFIGURED</x:v>
      </x:c>
      <x:c r="B10" s="39" t="str">
        <x:v>Storage</x:v>
      </x:c>
      <x:c r="C10" s="39" t="str">
        <x:v>Automated</x:v>
      </x:c>
      <x:c r="D10" s="47" t="b">
        <x:v>1</x:v>
      </x:c>
      <x:c r="E10" s="39" t="str">
        <x:v>Production-like environment uses private S3-compatible storage</x:v>
      </x:c>
      <x:c r="F10" s="39" t="str">
        <x:v>Pending</x:v>
      </x:c>
      <x:c r="G10" s="39" t="str"/>
      <x:c r="H10" s="39" t="str"/>
      <x:c r="I10" s="39" t="str"/>
      <x:c r="J10" s="40" t="str"/>
      <x:c r="K10" s="39" t="n">
        <x:f>IF(OR(F10="Pass",F10="Waived"),1,0)</x:f>
        <x:v>0</x:v>
      </x:c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OBJECT_STORAGE_PRIVATE_RW</x:v>
      </x:c>
      <x:c r="B11" s="39" t="str">
        <x:v>Storage</x:v>
      </x:c>
      <x:c r="C11" s="39" t="str">
        <x:v>Manual</x:v>
      </x:c>
      <x:c r="D11" s="47" t="b">
        <x:v>1</x:v>
      </x:c>
      <x:c r="E11" s="39" t="str">
        <x:v>Private bucket write/read/delete test passes</x:v>
      </x:c>
      <x:c r="F11" s="39" t="str">
        <x:v>Pending</x:v>
      </x:c>
      <x:c r="G11" s="39" t="str"/>
      <x:c r="H11" s="39" t="str"/>
      <x:c r="I11" s="39" t="str"/>
      <x:c r="J11" s="40" t="str"/>
      <x:c r="K11" s="39" t="n">
        <x:f>IF(OR(F11="Pass",F11="Waived"),1,0)</x:f>
        <x:v>0</x:v>
      </x:c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BACKUP_RESTORE_TESTED</x:v>
      </x:c>
      <x:c r="B12" s="39" t="str">
        <x:v>Resilience</x:v>
      </x:c>
      <x:c r="C12" s="39" t="str">
        <x:v>Manual</x:v>
      </x:c>
      <x:c r="D12" s="47" t="b">
        <x:v>1</x:v>
      </x:c>
      <x:c r="E12" s="39" t="str">
        <x:v>Database and object restore test passes</x:v>
      </x:c>
      <x:c r="F12" s="39" t="str">
        <x:v>Pending</x:v>
      </x:c>
      <x:c r="G12" s="39" t="str"/>
      <x:c r="H12" s="39" t="str"/>
      <x:c r="I12" s="39" t="str"/>
      <x:c r="J12" s="40" t="str"/>
      <x:c r="K12" s="39" t="n">
        <x:f>IF(OR(F12="Pass",F12="Waived"),1,0)</x:f>
        <x:v>0</x:v>
      </x:c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OIDC_MODE_ENABLED</x:v>
      </x:c>
      <x:c r="B13" s="39" t="str">
        <x:v>Identity</x:v>
      </x:c>
      <x:c r="C13" s="39" t="str">
        <x:v>Automated</x:v>
      </x:c>
      <x:c r="D13" s="47" t="b">
        <x:v>1</x:v>
      </x:c>
      <x:c r="E13" s="39" t="str">
        <x:v>OIDC mode is enabled</x:v>
      </x:c>
      <x:c r="F13" s="39" t="str">
        <x:v>Pending</x:v>
      </x:c>
      <x:c r="G13" s="39" t="str"/>
      <x:c r="H13" s="39" t="str"/>
      <x:c r="I13" s="39" t="str"/>
      <x:c r="J13" s="40" t="str"/>
      <x:c r="K13" s="39" t="n">
        <x:f>IF(OR(F13="Pass",F13="Waived"),1,0)</x:f>
        <x:v>0</x:v>
      </x:c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OIDC_DISCOVERY_JWKS</x:v>
      </x:c>
      <x:c r="B14" s="39" t="str">
        <x:v>Identity</x:v>
      </x:c>
      <x:c r="C14" s="39" t="str">
        <x:v>Manual</x:v>
      </x:c>
      <x:c r="D14" s="47" t="b">
        <x:v>1</x:v>
      </x:c>
      <x:c r="E14" s="39" t="str">
        <x:v>Discovery and JWKS endpoints validate</x:v>
      </x:c>
      <x:c r="F14" s="39" t="str">
        <x:v>Pending</x:v>
      </x:c>
      <x:c r="G14" s="39" t="str"/>
      <x:c r="H14" s="39" t="str"/>
      <x:c r="I14" s="39" t="str"/>
      <x:c r="J14" s="40" t="str"/>
      <x:c r="K14" s="39" t="n">
        <x:f>IF(OR(F14="Pass",F14="Waived"),1,0)</x:f>
        <x:v>0</x:v>
      </x:c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>
        <x:v>OIDC_TOKEN_VALIDATION</x:v>
      </x:c>
      <x:c r="B15" s="39" t="str">
        <x:v>Identity</x:v>
      </x:c>
      <x:c r="C15" s="39" t="str">
        <x:v>Manual</x:v>
      </x:c>
      <x:c r="D15" s="47" t="b">
        <x:v>1</x:v>
      </x:c>
      <x:c r="E15" s="39" t="str">
        <x:v>Issuer, audience, signature and expiry validate</x:v>
      </x:c>
      <x:c r="F15" s="39" t="str">
        <x:v>Pending</x:v>
      </x:c>
      <x:c r="G15" s="39" t="str"/>
      <x:c r="H15" s="39" t="str"/>
      <x:c r="I15" s="39" t="str"/>
      <x:c r="J15" s="40" t="str"/>
      <x:c r="K15" s="39" t="n">
        <x:f>IF(OR(F15="Pass",F15="Waived"),1,0)</x:f>
        <x:v>0</x:v>
      </x:c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>
        <x:v>OIDC_ROLE_SITE_CLAIMS</x:v>
      </x:c>
      <x:c r="B16" s="39" t="str">
        <x:v>Identity</x:v>
      </x:c>
      <x:c r="C16" s="39" t="str">
        <x:v>Manual</x:v>
      </x:c>
      <x:c r="D16" s="47" t="b">
        <x:v>1</x:v>
      </x:c>
      <x:c r="E16" s="39" t="str">
        <x:v>Roles and TGH site claim enforce least privilege</x:v>
      </x:c>
      <x:c r="F16" s="39" t="str">
        <x:v>Pending</x:v>
      </x:c>
      <x:c r="G16" s="39" t="str"/>
      <x:c r="H16" s="39" t="str"/>
      <x:c r="I16" s="39" t="str"/>
      <x:c r="J16" s="40" t="str"/>
      <x:c r="K16" s="39" t="n">
        <x:f>IF(OR(F16="Pass",F16="Waived"),1,0)</x:f>
        <x:v>0</x:v>
      </x:c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9" t="str">
        <x:v>DEV_TOKENS_DISABLED</x:v>
      </x:c>
      <x:c r="B17" s="39" t="str">
        <x:v>Security</x:v>
      </x:c>
      <x:c r="C17" s="39" t="str">
        <x:v>Automated</x:v>
      </x:c>
      <x:c r="D17" s="47" t="b">
        <x:v>1</x:v>
      </x:c>
      <x:c r="E17" s="39" t="str">
        <x:v>Development tokens are disabled</x:v>
      </x:c>
      <x:c r="F17" s="39" t="str">
        <x:v>Pending</x:v>
      </x:c>
      <x:c r="G17" s="39" t="str"/>
      <x:c r="H17" s="39" t="str"/>
      <x:c r="I17" s="39" t="str"/>
      <x:c r="J17" s="40" t="str"/>
      <x:c r="K17" s="39" t="n">
        <x:f>IF(OR(F17="Pass",F17="Waived"),1,0)</x:f>
        <x:v>0</x:v>
      </x:c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9" t="str">
        <x:v>TLS_ENABLED</x:v>
      </x:c>
      <x:c r="B18" s="39" t="str">
        <x:v>Security</x:v>
      </x:c>
      <x:c r="C18" s="39" t="str">
        <x:v>Automated</x:v>
      </x:c>
      <x:c r="D18" s="47" t="b">
        <x:v>1</x:v>
      </x:c>
      <x:c r="E18" s="39" t="str">
        <x:v>TLS is enabled</x:v>
      </x:c>
      <x:c r="F18" s="39" t="str">
        <x:v>Pending</x:v>
      </x:c>
      <x:c r="G18" s="39" t="str"/>
      <x:c r="H18" s="39" t="str"/>
      <x:c r="I18" s="39" t="str"/>
      <x:c r="J18" s="40" t="str"/>
      <x:c r="K18" s="39" t="n">
        <x:f>IF(OR(F18="Pass",F18="Waived"),1,0)</x:f>
        <x:v>0</x:v>
      </x:c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9" t="str">
        <x:v>CORS_RESTRICTED</x:v>
      </x:c>
      <x:c r="B19" s="39" t="str">
        <x:v>Security</x:v>
      </x:c>
      <x:c r="C19" s="39" t="str">
        <x:v>Automated</x:v>
      </x:c>
      <x:c r="D19" s="47" t="b">
        <x:v>1</x:v>
      </x:c>
      <x:c r="E19" s="39" t="str">
        <x:v>CORS excludes wildcard and local-only origins</x:v>
      </x:c>
      <x:c r="F19" s="39" t="str">
        <x:v>Pending</x:v>
      </x:c>
      <x:c r="G19" s="39" t="str"/>
      <x:c r="H19" s="39" t="str"/>
      <x:c r="I19" s="39" t="str"/>
      <x:c r="J19" s="40" t="str"/>
      <x:c r="K19" s="39" t="n">
        <x:f>IF(OR(F19="Pass",F19="Waived"),1,0)</x:f>
        <x:v>0</x:v>
      </x:c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9" t="str">
        <x:v>MONITORING_ENABLED</x:v>
      </x:c>
      <x:c r="B20" s="39" t="str">
        <x:v>Operations</x:v>
      </x:c>
      <x:c r="C20" s="39" t="str">
        <x:v>Automated</x:v>
      </x:c>
      <x:c r="D20" s="47" t="b">
        <x:v>1</x:v>
      </x:c>
      <x:c r="E20" s="39" t="str">
        <x:v>Monitoring and alerting are enabled</x:v>
      </x:c>
      <x:c r="F20" s="39" t="str">
        <x:v>Pending</x:v>
      </x:c>
      <x:c r="G20" s="39" t="str"/>
      <x:c r="H20" s="39" t="str"/>
      <x:c r="I20" s="39" t="str"/>
      <x:c r="J20" s="40" t="str"/>
      <x:c r="K20" s="39" t="n">
        <x:f>IF(OR(F20="Pass",F20="Waived"),1,0)</x:f>
        <x:v>0</x:v>
      </x:c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9" t="str">
        <x:v>AUDIT_WRITE_PASS</x:v>
      </x:c>
      <x:c r="B21" s="39" t="str">
        <x:v>Audit</x:v>
      </x:c>
      <x:c r="C21" s="39" t="str">
        <x:v>Automated</x:v>
      </x:c>
      <x:c r="D21" s="47" t="b">
        <x:v>1</x:v>
      </x:c>
      <x:c r="E21" s="39" t="str">
        <x:v>Audit trail is writable</x:v>
      </x:c>
      <x:c r="F21" s="39" t="str">
        <x:v>Pending</x:v>
      </x:c>
      <x:c r="G21" s="39" t="str"/>
      <x:c r="H21" s="39" t="str"/>
      <x:c r="I21" s="39" t="str"/>
      <x:c r="J21" s="40" t="str"/>
      <x:c r="K21" s="39" t="n">
        <x:f>IF(OR(F21="Pass",F21="Waived"),1,0)</x:f>
        <x:v>0</x:v>
      </x:c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9" t="str">
        <x:v>FRONTEND_URL_CONFIGURED</x:v>
      </x:c>
      <x:c r="B22" s="39" t="str">
        <x:v>Frontend</x:v>
      </x:c>
      <x:c r="C22" s="39" t="str">
        <x:v>Automated</x:v>
      </x:c>
      <x:c r="D22" s="47" t="b">
        <x:v>1</x:v>
      </x:c>
      <x:c r="E22" s="39" t="str">
        <x:v>Public frontend URL is configured</x:v>
      </x:c>
      <x:c r="F22" s="39" t="str">
        <x:v>Pending</x:v>
      </x:c>
      <x:c r="G22" s="39" t="str"/>
      <x:c r="H22" s="39" t="str"/>
      <x:c r="I22" s="39" t="str"/>
      <x:c r="J22" s="40" t="str"/>
      <x:c r="K22" s="39" t="n">
        <x:f>IF(OR(F22="Pass",F22="Waived"),1,0)</x:f>
        <x:v>0</x:v>
      </x:c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9" t="str">
        <x:v>NOTIFICATION_SCHEDULER_PASS</x:v>
      </x:c>
      <x:c r="B23" s="39" t="str">
        <x:v>Operations</x:v>
      </x:c>
      <x:c r="C23" s="39" t="str">
        <x:v>Manual</x:v>
      </x:c>
      <x:c r="D23" s="47" t="b">
        <x:v>1</x:v>
      </x:c>
      <x:c r="E23" s="39" t="str">
        <x:v>Scheduler executes without duplicate notifications</x:v>
      </x:c>
      <x:c r="F23" s="39" t="str">
        <x:v>Pending</x:v>
      </x:c>
      <x:c r="G23" s="39" t="str"/>
      <x:c r="H23" s="39" t="str"/>
      <x:c r="I23" s="39" t="str"/>
      <x:c r="J23" s="40" t="str"/>
      <x:c r="K23" s="39" t="n">
        <x:f>IF(OR(F23="Pass",F23="Waived"),1,0)</x:f>
        <x:v>0</x:v>
      </x:c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9" t="str">
        <x:v>EXPORT_RETENTION_PASS</x:v>
      </x:c>
      <x:c r="B24" s="39" t="str">
        <x:v>Operations</x:v>
      </x:c>
      <x:c r="C24" s="39" t="str">
        <x:v>Manual</x:v>
      </x:c>
      <x:c r="D24" s="47" t="b">
        <x:v>1</x:v>
      </x:c>
      <x:c r="E24" s="39" t="str">
        <x:v>Export checksum and retention cleanup pass</x:v>
      </x:c>
      <x:c r="F24" s="39" t="str">
        <x:v>Pending</x:v>
      </x:c>
      <x:c r="G24" s="39" t="str"/>
      <x:c r="H24" s="39" t="str"/>
      <x:c r="I24" s="39" t="str"/>
      <x:c r="J24" s="40" t="str"/>
      <x:c r="K24" s="39" t="n">
        <x:f>IF(OR(F24="Pass",F24="Waived"),1,0)</x:f>
        <x:v>0</x:v>
      </x:c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9" t="str">
        <x:v>PILOT_USERS_READY</x:v>
      </x:c>
      <x:c r="B25" s="39" t="str">
        <x:v>Pilot</x:v>
      </x:c>
      <x:c r="C25" s="39" t="str">
        <x:v>Automated</x:v>
      </x:c>
      <x:c r="D25" s="47" t="b">
        <x:v>1</x:v>
      </x:c>
      <x:c r="E25" s="39" t="str">
        <x:v>Eight required users are trained and access-tested</x:v>
      </x:c>
      <x:c r="F25" s="39" t="str">
        <x:v>Pending</x:v>
      </x:c>
      <x:c r="G25" s="39" t="str"/>
      <x:c r="H25" s="39" t="str"/>
      <x:c r="I25" s="39" t="str"/>
      <x:c r="J25" s="40" t="str"/>
      <x:c r="K25" s="39" t="n">
        <x:f>IF(OR(F25="Pass",F25="Waived"),1,0)</x:f>
        <x:v>0</x:v>
      </x:c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9" t="str">
        <x:v>P0_CAMPAIGN_READY</x:v>
      </x:c>
      <x:c r="B26" s="39" t="str">
        <x:v>Pilot</x:v>
      </x:c>
      <x:c r="C26" s="39" t="str">
        <x:v>Automated</x:v>
      </x:c>
      <x:c r="D26" s="47" t="b">
        <x:v>1</x:v>
      </x:c>
      <x:c r="E26" s="39" t="str">
        <x:v>P0 campaign contains exactly 48 unique requests</x:v>
      </x:c>
      <x:c r="F26" s="39" t="str">
        <x:v>Pending</x:v>
      </x:c>
      <x:c r="G26" s="39" t="str"/>
      <x:c r="H26" s="39" t="str"/>
      <x:c r="I26" s="39" t="str"/>
      <x:c r="J26" s="40" t="str"/>
      <x:c r="K26" s="39" t="n">
        <x:f>IF(OR(F26="Pass",F26="Waived"),1,0)</x:f>
        <x:v>0</x:v>
      </x:c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9" t="str">
        <x:v>UAT_CRITICAL_PASS</x:v>
      </x:c>
      <x:c r="B27" s="39" t="str">
        <x:v>Pilot</x:v>
      </x:c>
      <x:c r="C27" s="39" t="str">
        <x:v>Automated</x:v>
      </x:c>
      <x:c r="D27" s="47" t="b">
        <x:v>1</x:v>
      </x:c>
      <x:c r="E27" s="39" t="str">
        <x:v>All critical UAT scenarios pass</x:v>
      </x:c>
      <x:c r="F27" s="39" t="str">
        <x:v>Pending</x:v>
      </x:c>
      <x:c r="G27" s="39" t="str"/>
      <x:c r="H27" s="39" t="str"/>
      <x:c r="I27" s="39" t="str"/>
      <x:c r="J27" s="40" t="str"/>
      <x:c r="K27" s="39" t="n">
        <x:f>IF(OR(F27="Pass",F27="Waived"),1,0)</x:f>
        <x:v>0</x:v>
      </x:c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9" t="str">
        <x:v>FORMAL_GO_DECISION</x:v>
      </x:c>
      <x:c r="B28" s="39" t="str">
        <x:v>Governance</x:v>
      </x:c>
      <x:c r="C28" s="39" t="str">
        <x:v>Manual</x:v>
      </x:c>
      <x:c r="D28" s="47" t="b">
        <x:v>1</x:v>
      </x:c>
      <x:c r="E28" s="39" t="str">
        <x:v>Authorized Go or ConditionalGo decision is recorded</x:v>
      </x:c>
      <x:c r="F28" s="39" t="str">
        <x:v>Pending</x:v>
      </x:c>
      <x:c r="G28" s="39" t="str"/>
      <x:c r="H28" s="39" t="str"/>
      <x:c r="I28" s="39" t="str"/>
      <x:c r="J28" s="40" t="str"/>
      <x:c r="K28" s="39" t="n">
        <x:f>IF(OR(F28="Pass",F28="Waived"),1,0)</x:f>
        <x:v>0</x:v>
      </x:c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K2"/>
  </x:mergeCells>
  <x:conditionalFormatting sqref="F5:F28">
    <x:cfRule type="expression" dxfId="0" priority="1">
      <x:formula>F5="Pass"</x:formula>
    </x:cfRule>
    <x:cfRule type="expression" dxfId="1" priority="2">
      <x:formula>F5="Fail"</x:formula>
    </x:cfRule>
    <x:cfRule type="expression" dxfId="2" priority="3">
      <x:formula>OR(F5="Pending",F5="Blocked")</x:formula>
    </x:cfRule>
  </x:conditionalFormatting>
  <x:dataValidations count="1">
    <x:dataValidation type="list" sqref="F5:F28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1be531bf174f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34" hidden="0" customWidth="1"/>
    <x:col min="4" max="4" width="34" hidden="0" customWidth="1"/>
    <x:col min="5" max="5" width="28" hidden="0" customWidth="1"/>
    <x:col min="6" max="6" width="14" hidden="0" customWidth="1"/>
    <x:col min="7" max="7" width="14" hidden="0" customWidth="1"/>
    <x:col min="8" max="8" width="45" hidden="0" customWidth="1"/>
    <x:col min="9" max="9" width="35" hidden="0" customWidth="1"/>
    <x:col min="10" max="10" width="14" hidden="0" customWidth="1"/>
  </x:cols>
  <x:sheetData>
    <x:row r="1">
      <x:c r="A1" s="36" t="str">
        <x:v>اختبار النسخ الاحتياطي والاستعادة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Run Code</x:v>
      </x:c>
      <x:c r="B4" s="46" t="str">
        <x:v>Status</x:v>
      </x:c>
      <x:c r="C4" s="46" t="str">
        <x:v>Backup URI</x:v>
      </x:c>
      <x:c r="D4" s="46" t="str">
        <x:v>Backup SHA-256</x:v>
      </x:c>
      <x:c r="E4" s="46" t="str">
        <x:v>Restore Target</x:v>
      </x:c>
      <x:c r="F4" s="46" t="str">
        <x:v>RPO Seconds</x:v>
      </x:c>
      <x:c r="G4" s="46" t="str">
        <x:v>RTO Seconds</x:v>
      </x:c>
      <x:c r="H4" s="46" t="str">
        <x:v>Row/Object Count Summary</x:v>
      </x:c>
      <x:c r="I4" s="46" t="str">
        <x:v>Evidence Reference</x:v>
      </x:c>
      <x:c r="J4" s="46" t="str">
        <x:v>Executed Date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/>
      <x:c r="B5" s="39" t="str"/>
      <x:c r="C5" s="39" t="str"/>
      <x:c r="D5" s="39" t="str"/>
      <x:c r="E5" s="39" t="str"/>
      <x:c r="F5" s="39" t="str"/>
      <x:c r="G5" s="39" t="str"/>
      <x:c r="H5" s="39" t="str"/>
      <x:c r="I5" s="39" t="str"/>
      <x:c r="J5" s="40" t="str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Acceptance Criteria</x:v>
      </x:c>
      <x:c r="B6" s="39" t="str">
        <x:v>Pass requires successful isolated restore, matching row/object counts, intact links and audit continuity.</x:v>
      </x:c>
      <x:c r="C6" s="39" t="str"/>
      <x:c r="D6" s="39" t="str"/>
      <x:c r="E6" s="39" t="str"/>
      <x:c r="F6" s="39" t="str"/>
      <x:c r="G6" s="39" t="str"/>
      <x:c r="H6" s="39" t="str"/>
      <x:c r="I6" s="39" t="str"/>
      <x:c r="J6" s="39" t="str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Database Counts</x:v>
      </x:c>
      <x:c r="B7" s="39" t="str">
        <x:v>standards=41; measurable_elements=266; nested_clauses=63; documents=75</x:v>
      </x:c>
      <x:c r="C7" s="39" t="str"/>
      <x:c r="D7" s="39" t="str"/>
      <x:c r="E7" s="39" t="str"/>
      <x:c r="F7" s="39" t="str"/>
      <x:c r="G7" s="39" t="str"/>
      <x:c r="H7" s="39" t="str"/>
      <x:c r="I7" s="39" t="str"/>
      <x:c r="J7" s="39" t="str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Object Storage</x:v>
      </x:c>
      <x:c r="B8" s="39" t="str">
        <x:v>Evidence files and export objects restored with matching hashes</x:v>
      </x:c>
      <x:c r="C8" s="39" t="str"/>
      <x:c r="D8" s="39" t="str"/>
      <x:c r="E8" s="39" t="str"/>
      <x:c r="F8" s="39" t="str"/>
      <x:c r="G8" s="39" t="str"/>
      <x:c r="H8" s="39" t="str"/>
      <x:c r="I8" s="39" t="str"/>
      <x:c r="J8" s="39" t="str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Authorization</x:v>
      </x:c>
      <x:c r="B9" s="39" t="str">
        <x:v>Executed and approved by authorized platform/IT owners</x:v>
      </x:c>
      <x:c r="C9" s="39" t="str"/>
      <x:c r="D9" s="39" t="str"/>
      <x:c r="E9" s="39" t="str"/>
      <x:c r="F9" s="39" t="str"/>
      <x:c r="G9" s="39" t="str"/>
      <x:c r="H9" s="39" t="str"/>
      <x:c r="I9" s="39" t="str"/>
      <x:c r="J9" s="39" t="str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J2"/>
  </x:mergeCells>
  <x:dataValidations count="1">
    <x:dataValidation type="list" sqref="B5">
      <x:formula1>_Lists!$C$2:$C$4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8" hidden="0" customWidth="1"/>
    <x:col min="9" max="9" width="35" hidden="0" customWidth="1"/>
    <x:col min="10" max="10" width="14" hidden="0" customWidth="1"/>
  </x:cols>
  <x:sheetData>
    <x:row r="1">
      <x:c r="A1" s="36" t="str">
        <x:v>التحقق من OIDC وClaims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Run Code</x:v>
      </x:c>
      <x:c r="B4" s="46" t="str">
        <x:v>Issuer</x:v>
      </x:c>
      <x:c r="C4" s="46" t="str">
        <x:v>Audience</x:v>
      </x:c>
      <x:c r="D4" s="46" t="str">
        <x:v>Discovery</x:v>
      </x:c>
      <x:c r="E4" s="46" t="str">
        <x:v>JWKS</x:v>
      </x:c>
      <x:c r="F4" s="46" t="str">
        <x:v>Token</x:v>
      </x:c>
      <x:c r="G4" s="46" t="str">
        <x:v>Claims</x:v>
      </x:c>
      <x:c r="H4" s="46" t="str">
        <x:v>Observed Claims</x:v>
      </x:c>
      <x:c r="I4" s="46" t="str">
        <x:v>Evidence Reference</x:v>
      </x:c>
      <x:c r="J4" s="46" t="str">
        <x:v>Checked Date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/>
      <x:c r="B5" s="39" t="str"/>
      <x:c r="C5" s="39" t="str"/>
      <x:c r="D5" s="39" t="str">
        <x:v>Pending</x:v>
      </x:c>
      <x:c r="E5" s="39" t="str">
        <x:v>Pending</x:v>
      </x:c>
      <x:c r="F5" s="39" t="str">
        <x:v>Pending</x:v>
      </x:c>
      <x:c r="G5" s="39" t="str">
        <x:v>Pending</x:v>
      </x:c>
      <x:c r="H5" s="39" t="str"/>
      <x:c r="I5" s="39" t="str"/>
      <x:c r="J5" s="40" t="str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Required Claims</x:v>
      </x:c>
      <x:c r="B6" s="39" t="str">
        <x:v>sub, email, name, roles, sites</x:v>
      </x:c>
      <x:c r="C6" s="39" t="str"/>
      <x:c r="D6" s="39" t="str"/>
      <x:c r="E6" s="39" t="str"/>
      <x:c r="F6" s="39" t="str"/>
      <x:c r="G6" s="39" t="str"/>
      <x:c r="H6" s="39" t="str"/>
      <x:c r="I6" s="39" t="str"/>
      <x:c r="J6" s="39" t="str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Positive Test</x:v>
      </x:c>
      <x:c r="B7" s="39" t="str">
        <x:v>Valid TGH user succeeds and receives mapped roles/site</x:v>
      </x:c>
      <x:c r="C7" s="39" t="str"/>
      <x:c r="D7" s="39" t="str"/>
      <x:c r="E7" s="39" t="str"/>
      <x:c r="F7" s="39" t="str"/>
      <x:c r="G7" s="39" t="str"/>
      <x:c r="H7" s="39" t="str"/>
      <x:c r="I7" s="39" t="str"/>
      <x:c r="J7" s="39" t="str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Negative Test</x:v>
      </x:c>
      <x:c r="B8" s="39" t="str">
        <x:v>Wrong audience/issuer or missing role/site is rejected</x:v>
      </x:c>
      <x:c r="C8" s="39" t="str"/>
      <x:c r="D8" s="39" t="str"/>
      <x:c r="E8" s="39" t="str"/>
      <x:c r="F8" s="39" t="str"/>
      <x:c r="G8" s="39" t="str"/>
      <x:c r="H8" s="39" t="str"/>
      <x:c r="I8" s="39" t="str"/>
      <x:c r="J8" s="39" t="str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Secret Rule</x:v>
      </x:c>
      <x:c r="B9" s="39" t="str">
        <x:v>Never store bearer tokens in the workbook or exported evidence</x:v>
      </x:c>
      <x:c r="C9" s="39" t="str"/>
      <x:c r="D9" s="39" t="str"/>
      <x:c r="E9" s="39" t="str"/>
      <x:c r="F9" s="39" t="str"/>
      <x:c r="G9" s="39" t="str"/>
      <x:c r="H9" s="39" t="str"/>
      <x:c r="I9" s="39" t="str"/>
      <x:c r="J9" s="39" t="str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Acceptance</x:v>
      </x:c>
      <x:c r="B10" s="39" t="str">
        <x:v>All four validation statuses must be Pass</x:v>
      </x:c>
      <x:c r="C10" s="39" t="str"/>
      <x:c r="D10" s="39" t="str"/>
      <x:c r="E10" s="39" t="str"/>
      <x:c r="F10" s="39" t="str"/>
      <x:c r="G10" s="39" t="str"/>
      <x:c r="H10" s="39" t="str"/>
      <x:c r="I10" s="39" t="str"/>
      <x:c r="J10" s="39" t="str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J2"/>
  </x:mergeCells>
  <x:dataValidations count="4">
    <x:dataValidation type="list" sqref="D5">
      <x:formula1>_Lists!$C$2:$C$4</x:formula1>
    </x:dataValidation>
    <x:dataValidation type="list" sqref="E5">
      <x:formula1>_Lists!$C$2:$C$4</x:formula1>
    </x:dataValidation>
    <x:dataValidation type="list" sqref="F5">
      <x:formula1>_Lists!$C$2:$C$4</x:formula1>
    </x:dataValidation>
    <x:dataValidation type="list" sqref="G5">
      <x:formula1>_Lists!$C$2:$C$4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24" hidden="0" customWidth="1"/>
    <x:col min="4" max="4" width="13" hidden="0" customWidth="1"/>
    <x:col min="5" max="5" width="35" hidden="0" customWidth="1"/>
    <x:col min="6" max="6" width="35" hidden="0" customWidth="1"/>
  </x:cols>
  <x:sheetData>
    <x:row r="1">
      <x:c r="A1" s="36" t="str">
        <x:v>فهرس أدلة Go-Live المؤسسية</x:v>
      </x:c>
      <x:c r="B1" s="36"/>
      <x:c r="C1" s="36"/>
      <x:c r="D1" s="36"/>
      <x:c r="E1" s="36"/>
      <x:c r="F1" s="36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Evidence ID</x:v>
      </x:c>
      <x:c r="B4" s="46" t="str">
        <x:v>Required Evidence</x:v>
      </x:c>
      <x:c r="C4" s="46" t="str">
        <x:v>Owner</x:v>
      </x:c>
      <x:c r="D4" s="46" t="str">
        <x:v>Status</x:v>
      </x:c>
      <x:c r="E4" s="46" t="str">
        <x:v>Reference</x:v>
      </x:c>
      <x:c r="F4" s="46" t="str">
        <x:v>Notes</x:v>
      </x:c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E01</x:v>
      </x:c>
      <x:c r="B5" s="39" t="str">
        <x:v>Approved change ticket and release SHA</x:v>
      </x:c>
      <x:c r="C5" s="39" t="str">
        <x:v>Platform Operations</x:v>
      </x:c>
      <x:c r="D5" s="39" t="str">
        <x:v>Pending</x:v>
      </x:c>
      <x:c r="E5" s="39" t="str"/>
      <x:c r="F5" s="39" t="str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E02</x:v>
      </x:c>
      <x:c r="B6" s="39" t="str">
        <x:v>Migration log through 0006</x:v>
      </x:c>
      <x:c r="C6" s="39" t="str">
        <x:v>SystemAdmin</x:v>
      </x:c>
      <x:c r="D6" s="39" t="str">
        <x:v>Pending</x:v>
      </x:c>
      <x:c r="E6" s="39" t="str"/>
      <x:c r="F6" s="39" t="str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E03</x:v>
      </x:c>
      <x:c r="B7" s="39" t="str">
        <x:v>Baseline validation 41/266/63/75/12</x:v>
      </x:c>
      <x:c r="C7" s="39" t="str">
        <x:v>AccreditationLead</x:v>
      </x:c>
      <x:c r="D7" s="39" t="str">
        <x:v>Pending</x:v>
      </x:c>
      <x:c r="E7" s="39" t="str"/>
      <x:c r="F7" s="39" t="str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E04</x:v>
      </x:c>
      <x:c r="B8" s="39" t="str">
        <x:v>Private object-storage probe</x:v>
      </x:c>
      <x:c r="C8" s="39" t="str">
        <x:v>Platform Operations</x:v>
      </x:c>
      <x:c r="D8" s="39" t="str">
        <x:v>Pending</x:v>
      </x:c>
      <x:c r="E8" s="39" t="str"/>
      <x:c r="F8" s="39" t="str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E05</x:v>
      </x:c>
      <x:c r="B9" s="39" t="str">
        <x:v>Backup/restore report with RPO/RTO</x:v>
      </x:c>
      <x:c r="C9" s="39" t="str">
        <x:v>Platform Operations</x:v>
      </x:c>
      <x:c r="D9" s="39" t="str">
        <x:v>Pending</x:v>
      </x:c>
      <x:c r="E9" s="39" t="str"/>
      <x:c r="F9" s="39" t="str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E06</x:v>
      </x:c>
      <x:c r="B10" s="39" t="str">
        <x:v>OIDC discovery, JWKS, token and claims validation</x:v>
      </x:c>
      <x:c r="C10" s="39" t="str">
        <x:v>IT Security</x:v>
      </x:c>
      <x:c r="D10" s="39" t="str">
        <x:v>Pending</x:v>
      </x:c>
      <x:c r="E10" s="39" t="str"/>
      <x:c r="F10" s="39" t="str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E07</x:v>
      </x:c>
      <x:c r="B11" s="39" t="str">
        <x:v>TLS, CORS, secrets and monitoring evidence</x:v>
      </x:c>
      <x:c r="C11" s="39" t="str">
        <x:v>IT Security</x:v>
      </x:c>
      <x:c r="D11" s="39" t="str">
        <x:v>Pending</x:v>
      </x:c>
      <x:c r="E11" s="39" t="str"/>
      <x:c r="F11" s="39" t="str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E08</x:v>
      </x:c>
      <x:c r="B12" s="39" t="str">
        <x:v>Scheduler and export-retention evidence</x:v>
      </x:c>
      <x:c r="C12" s="39" t="str">
        <x:v>SystemAdmin</x:v>
      </x:c>
      <x:c r="D12" s="39" t="str">
        <x:v>Pending</x:v>
      </x:c>
      <x:c r="E12" s="39" t="str"/>
      <x:c r="F12" s="39" t="str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E09</x:v>
      </x:c>
      <x:c r="B13" s="39" t="str">
        <x:v>Turaif users, training and access tests</x:v>
      </x:c>
      <x:c r="C13" s="39" t="str">
        <x:v>AccreditationLead</x:v>
      </x:c>
      <x:c r="D13" s="39" t="str">
        <x:v>Pending</x:v>
      </x:c>
      <x:c r="E13" s="39" t="str"/>
      <x:c r="F13" s="39" t="str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E10</x:v>
      </x:c>
      <x:c r="B14" s="39" t="str">
        <x:v>P0/ESR campaign with 48 requests</x:v>
      </x:c>
      <x:c r="C14" s="39" t="str">
        <x:v>MedicationSafety</x:v>
      </x:c>
      <x:c r="D14" s="39" t="str">
        <x:v>Pending</x:v>
      </x:c>
      <x:c r="E14" s="39" t="str"/>
      <x:c r="F14" s="39" t="str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>
        <x:v>E11</x:v>
      </x:c>
      <x:c r="B15" s="39" t="str">
        <x:v>Critical UAT report and defect closure</x:v>
      </x:c>
      <x:c r="C15" s="39" t="str">
        <x:v>UAT Lead</x:v>
      </x:c>
      <x:c r="D15" s="39" t="str">
        <x:v>Pending</x:v>
      </x:c>
      <x:c r="E15" s="39" t="str"/>
      <x:c r="F15" s="39" t="str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>
        <x:v>E12</x:v>
      </x:c>
      <x:c r="B16" s="39" t="str">
        <x:v>Formal Go/ConditionalGo decision</x:v>
      </x:c>
      <x:c r="C16" s="39" t="str">
        <x:v>PharmacyDirector</x:v>
      </x:c>
      <x:c r="D16" s="39" t="str">
        <x:v>Pending</x:v>
      </x:c>
      <x:c r="E16" s="39" t="str"/>
      <x:c r="F16" s="39" t="str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F2"/>
  </x:mergeCells>
  <x:dataValidations count="1">
    <x:dataValidation type="list" sqref="D5:D16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609257bec4b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18" hidden="0" customWidth="1"/>
    <x:col min="5" max="5" width="58" hidden="0" customWidth="1"/>
    <x:col min="6" max="6" width="45" hidden="0" customWidth="1"/>
    <x:col min="7" max="7" width="24" hidden="0" customWidth="1"/>
    <x:col min="8" max="8" width="14" hidden="0" customWidth="1"/>
  </x:cols>
  <x:sheetData>
    <x:row r="1">
      <x:c r="A1" s="36" t="str">
        <x:v>لوحة قرار قبول النشر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Indicator</x:v>
      </x:c>
      <x:c r="B4" s="46" t="str">
        <x:v>Value</x:v>
      </x:c>
      <x:c r="C4" s="39"/>
      <x:c r="D4" s="46" t="str">
        <x:v>Decision</x:v>
      </x:c>
      <x:c r="E4" s="46" t="str">
        <x:v>Rationale</x:v>
      </x:c>
      <x:c r="F4" s="46" t="str">
        <x:v>Conditions</x:v>
      </x:c>
      <x:c r="G4" s="46" t="str">
        <x:v>Approved By</x:v>
      </x:c>
      <x:c r="H4" s="46" t="str">
        <x:v>Date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Checks Passed</x:v>
      </x:c>
      <x:c r="B5" s="39" t="n">
        <x:f>SUM(Acceptance_Checks!K5:K28)</x:f>
        <x:v>0</x:v>
      </x:c>
      <x:c r="C5" s="39"/>
      <x:c r="D5" s="39" t="str">
        <x:v>NoGo</x:v>
      </x:c>
      <x:c r="E5" s="39"/>
      <x:c r="F5" s="39"/>
      <x:c r="G5" s="39"/>
      <x:c r="H5" s="40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Checks Required</x:v>
      </x:c>
      <x:c r="B6" s="39" t="n">
        <x:v>24</x:v>
      </x:c>
      <x:c r="C6" s="39"/>
      <x:c r="D6" s="39"/>
      <x:c r="E6" s="39"/>
      <x:c r="F6" s="39"/>
      <x:c r="G6" s="39"/>
      <x:c r="H6" s="39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Failed Required Checks</x:v>
      </x:c>
      <x:c r="B7" s="39" t="n">
        <x:f>COUNTIF(Acceptance_Checks!F5:F28,"Fail")</x:f>
        <x:v>0</x:v>
      </x:c>
      <x:c r="C7" s="39"/>
      <x:c r="D7" s="39"/>
      <x:c r="E7" s="39"/>
      <x:c r="F7" s="39"/>
      <x:c r="G7" s="39"/>
      <x:c r="H7" s="39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Pending/Blocked Required</x:v>
      </x:c>
      <x:c r="B8" s="39" t="n">
        <x:f>COUNTIF(Acceptance_Checks!F5:F28,"Pending")+COUNTIF(Acceptance_Checks!F5:F28,"Blocked")</x:f>
        <x:v>24</x:v>
      </x:c>
      <x:c r="C8" s="39"/>
      <x:c r="D8" s="39"/>
      <x:c r="E8" s="39"/>
      <x:c r="F8" s="39"/>
      <x:c r="G8" s="39"/>
      <x:c r="H8" s="39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Backup/Restore Status</x:v>
      </x:c>
      <x:c r="B9" s="39" t="str">
        <x:f>IF(Backup_Restore!B5="","Pending",Backup_Restore!B5)</x:f>
        <x:v>Pending</x:v>
      </x:c>
      <x:c r="C9" s="39"/>
      <x:c r="D9" s="39"/>
      <x:c r="E9" s="39"/>
      <x:c r="F9" s="39"/>
      <x:c r="G9" s="39"/>
      <x:c r="H9" s="39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OIDC Validation Status</x:v>
      </x:c>
      <x:c r="B10" s="39" t="str">
        <x:f>IF(AND(OIDC_Validation!D5="Pass",OIDC_Validation!E5="Pass",OIDC_Validation!F5="Pass",OIDC_Validation!G5="Pass"),"Pass","Pending")</x:f>
        <x:v>Pending</x:v>
      </x:c>
      <x:c r="C10" s="39"/>
      <x:c r="D10" s="39"/>
      <x:c r="E10" s="39"/>
      <x:c r="F10" s="39"/>
      <x:c r="G10" s="39"/>
      <x:c r="H10" s="39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Deployment Ready</x:v>
      </x:c>
      <x:c r="B11" s="39" t="str">
        <x:f>IF(AND(B5=B6,B7=0,B8=0,B9="Pass",B10="Pass"),"YES","NO")</x:f>
        <x:v>NO</x:v>
      </x:c>
      <x:c r="C11" s="39"/>
      <x:c r="D11" s="39"/>
      <x:c r="E11" s="39"/>
      <x:c r="F11" s="39"/>
      <x:c r="G11" s="39"/>
      <x:c r="H11" s="39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Recommended Decision</x:v>
      </x:c>
      <x:c r="B12" s="39" t="str">
        <x:f>IF(B11="YES","Go","NoGo")</x:f>
        <x:v>NoGo</x:v>
      </x:c>
      <x:c r="C12" s="39"/>
      <x:c r="D12" s="39"/>
      <x:c r="E12" s="39"/>
      <x:c r="F12" s="39"/>
      <x:c r="G12" s="39"/>
      <x:c r="H12" s="39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2"/>
  </x:mergeCells>
  <x:conditionalFormatting sqref="B11:B12">
    <x:cfRule type="expression" dxfId="3" priority="1">
      <x:formula>OR(B11="NO",B12="NoGo")</x:formula>
    </x:cfRule>
    <x:cfRule type="expression" dxfId="4" priority="2">
      <x:formula>OR(B11="YES",B12="Go")</x:formula>
    </x:cfRule>
  </x:conditionalFormatting>
  <x:dataValidations count="1">
    <x:dataValidation type="list" sqref="D5">
      <x:formula1>_Lists!$B$2:$B$5</x:formula1>
    </x:dataValidation>
  </x:dataValidations>
  <x:pageMargins left="0.7" right="0.7" top="0.75" bottom="0.75" header="0.3" footer="0.3"/>
  <x:drawing xmlns:r="http://schemas.openxmlformats.org/officeDocument/2006/relationships" r:id="R5ba21e76a8b646a7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CheckStatus</x:v>
      </x:c>
      <x:c r="B1" t="str">
        <x:v>Decision</x:v>
      </x:c>
      <x:c r="C1" t="str">
        <x:v>ValidationStatus</x:v>
      </x:c>
      <x:c r="D1" t="str">
        <x:v>EnvironmentType</x:v>
      </x:c>
    </x:row>
    <x:row r="2">
      <x:c r="A2" t="str">
        <x:v>Pending</x:v>
      </x:c>
      <x:c r="B2" t="str">
        <x:v>Go</x:v>
      </x:c>
      <x:c r="C2" t="str">
        <x:v>Pending</x:v>
      </x:c>
      <x:c r="D2" t="str">
        <x:v>Integration</x:v>
      </x:c>
    </x:row>
    <x:row r="3">
      <x:c r="A3" t="str">
        <x:v>Pass</x:v>
      </x:c>
      <x:c r="B3" t="str">
        <x:v>ConditionalGo</x:v>
      </x:c>
      <x:c r="C3" t="str">
        <x:v>Pass</x:v>
      </x:c>
      <x:c r="D3" t="str">
        <x:v>Pilot</x:v>
      </x:c>
    </x:row>
    <x:row r="4">
      <x:c r="A4" t="str">
        <x:v>Fail</x:v>
      </x:c>
      <x:c r="B4" t="str">
        <x:v>NoGo</x:v>
      </x:c>
      <x:c r="C4" t="str">
        <x:v>Fail</x:v>
      </x:c>
      <x:c r="D4" t="str">
        <x:v>Staging</x:v>
      </x:c>
    </x:row>
    <x:row r="5">
      <x:c r="A5" t="str">
        <x:v>Waived</x:v>
      </x:c>
      <x:c r="B5" t="str">
        <x:v>Rollback</x:v>
      </x:c>
      <x:c r="C5" t="str"/>
      <x:c r="D5" t="str">
        <x:v>Production</x:v>
      </x:c>
    </x:row>
    <x:row r="6">
      <x:c r="A6" t="str">
        <x:v>Blocked</x:v>
      </x:c>
      <x:c r="B6" t="str"/>
      <x:c r="C6" t="str"/>
      <x:c r="D6" t="str"/>
    </x:row>
    <x:row r="7">
      <x:c r="A7" t="str"/>
      <x:c r="B7" t="str"/>
      <x:c r="C7" t="str"/>
      <x:c r="D7" t="str"/>
    </x:row>
    <x:row r="8">
      <x:c r="A8" t="str"/>
      <x:c r="B8" t="str"/>
      <x:c r="C8" t="str"/>
      <x:c r="D8" t="str"/>
    </x:row>
  </x:sheetData>
  <x:pageMargins left="0.7" right="0.7" top="0.75" bottom="0.75" header="0.3" footer="0.3"/>
</x:worksheet>
</file>