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e47ef145854930" /></Relationships>
</file>

<file path=xl/workbook.xml><?xml version="1.0" encoding="utf-8"?>
<x:workbook xmlns:x="http://schemas.openxmlformats.org/spreadsheetml/2006/main">
  <x:sheets>
    <x:sheet xmlns:r="http://schemas.openxmlformats.org/officeDocument/2006/relationships" name="README" sheetId="1" r:id="R6d84891b72674099"/>
    <x:sheet xmlns:r="http://schemas.openxmlformats.org/officeDocument/2006/relationships" name="Programs" sheetId="2" r:id="Rb7ba9c427e944c20"/>
    <x:sheet xmlns:r="http://schemas.openxmlformats.org/officeDocument/2006/relationships" name="Control_Register" sheetId="3" r:id="R29996da53c4d43d9"/>
    <x:sheet xmlns:r="http://schemas.openxmlformats.org/officeDocument/2006/relationships" name="Cycles" sheetId="4" r:id="R6450d715b1d74eef"/>
    <x:sheet xmlns:r="http://schemas.openxmlformats.org/officeDocument/2006/relationships" name="Assurance_Tasks" sheetId="5" r:id="R3a51aedb0a714fe6"/>
    <x:sheet xmlns:r="http://schemas.openxmlformats.org/officeDocument/2006/relationships" name="DQ_Rules" sheetId="6" r:id="R975fb421dd364376"/>
    <x:sheet xmlns:r="http://schemas.openxmlformats.org/officeDocument/2006/relationships" name="DQ_Issues" sheetId="7" r:id="R222b293a25cb4694"/>
    <x:sheet xmlns:r="http://schemas.openxmlformats.org/officeDocument/2006/relationships" name="Rollout_Waves" sheetId="8" r:id="Rf6107ac8f7264f25"/>
    <x:sheet xmlns:r="http://schemas.openxmlformats.org/officeDocument/2006/relationships" name="Rollout_Sites" sheetId="9" r:id="Rb2deae613a4d4908"/>
    <x:sheet xmlns:r="http://schemas.openxmlformats.org/officeDocument/2006/relationships" name="Dashboard" sheetId="10" r:id="R8149fe1a40034e40"/>
    <x:sheet xmlns:r="http://schemas.openxmlformats.org/officeDocument/2006/relationships" name="_Lists" sheetId="11" r:id="R5dc5baed618545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4">
    <x:font>
      <x:sz val="11"/>
      <x:name val="Carlito"/>
    </x:font>
    <x:font>
      <x:b/>
      <x:sz val="15"/>
      <x:color rgb="FFFFFFFF"/>
      <x:name val="Carlito"/>
    </x:font>
    <x:font>
      <x:b/>
      <x:sz val="11"/>
      <x:color rgb="FF0B4F6C"/>
      <x:name val="Carlito"/>
    </x:font>
    <x:font>
      <x:b/>
      <x:sz val="11"/>
      <x:color rgb="FF15313F"/>
      <x:name val="Carlito"/>
    </x:font>
  </x:fonts>
  <x:fills count="5">
    <x:fill>
      <x:patternFill patternType="none"/>
    </x:fill>
    <x:fill>
      <x:patternFill patternType="gray125"/>
    </x:fill>
    <x:fill>
      <x:patternFill patternType="solid">
        <x:fgColor rgb="FF0B4F6C"/>
      </x:patternFill>
    </x:fill>
    <x:fill>
      <x:patternFill patternType="solid">
        <x:fgColor rgb="FFEAF5F3"/>
      </x:patternFill>
    </x:fill>
    <x:fill>
      <x:patternFill patternType="solid">
        <x:fgColor rgb="FFD9EAF7"/>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201"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cellXfs>
  <x:cellStyles count="1">
    <x:cellStyle name="Normal" xfId="0"/>
  </x:cellStyles>
  <x:dxfs count="4">
    <x:dxf>
      <x:font>
        <x:b/>
        <x:color rgb="FF991B1B"/>
      </x:font>
      <x:fill>
        <x:patternFill patternType="solid">
          <x:bgColor rgb="FFFECACA"/>
        </x:patternFill>
      </x:fill>
    </x:dxf>
    <x:dxf>
      <x:font>
        <x:b/>
        <x:color rgb="FF166534"/>
      </x:font>
      <x:fill>
        <x:patternFill patternType="solid">
          <x:bgColor rgb="FFDCFCE7"/>
        </x:patternFill>
      </x:fill>
    </x:dxf>
    <x:dxf>
      <x:font>
        <x:b/>
        <x:color rgb="FF991B1B"/>
      </x:font>
      <x:fill>
        <x:patternFill patternType="solid">
          <x:bgColor rgb="FFFECACA"/>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84e92df6434589" /><Relationship Type="http://schemas.openxmlformats.org/officeDocument/2006/relationships/theme" Target="/xl/theme/theme1.xml" Id="Rbda23dbfdaaf4d94" /><Relationship Type="http://schemas.microsoft.com/office/2022/11/relationships/FeaturePropertyBag" Target="/xl/featurePropertyBag/featurePropertyBag.xml" Id="R87b382cda87c4e71" /><Relationship Type="http://schemas.openxmlformats.org/officeDocument/2006/relationships/sharedStrings" Target="/xl/sharedStrings.xml" Id="R69b11924d8294e3b" /><Relationship Type="http://schemas.openxmlformats.org/officeDocument/2006/relationships/worksheet" Target="/xl/worksheets/sheet1.xml" Id="R6d84891b72674099" /><Relationship Type="http://schemas.openxmlformats.org/officeDocument/2006/relationships/worksheet" Target="/xl/worksheets/sheet2.xml" Id="Rb7ba9c427e944c20" /><Relationship Type="http://schemas.openxmlformats.org/officeDocument/2006/relationships/worksheet" Target="/xl/worksheets/sheet3.xml" Id="R29996da53c4d43d9" /><Relationship Type="http://schemas.openxmlformats.org/officeDocument/2006/relationships/worksheet" Target="/xl/worksheets/sheet4.xml" Id="R6450d715b1d74eef" /><Relationship Type="http://schemas.openxmlformats.org/officeDocument/2006/relationships/worksheet" Target="/xl/worksheets/sheet5.xml" Id="R3a51aedb0a714fe6" /><Relationship Type="http://schemas.openxmlformats.org/officeDocument/2006/relationships/worksheet" Target="/xl/worksheets/sheet6.xml" Id="R975fb421dd364376" /><Relationship Type="http://schemas.openxmlformats.org/officeDocument/2006/relationships/worksheet" Target="/xl/worksheets/sheet7.xml" Id="R222b293a25cb4694" /><Relationship Type="http://schemas.openxmlformats.org/officeDocument/2006/relationships/worksheet" Target="/xl/worksheets/sheet8.xml" Id="Rf6107ac8f7264f25" /><Relationship Type="http://schemas.openxmlformats.org/officeDocument/2006/relationships/worksheet" Target="/xl/worksheets/sheet9.xml" Id="Rb2deae613a4d4908" /><Relationship Type="http://schemas.openxmlformats.org/officeDocument/2006/relationships/worksheet" Target="/xl/worksheets/sheet10.xml" Id="R8149fe1a40034e40" /><Relationship Type="http://schemas.openxmlformats.org/officeDocument/2006/relationships/worksheet" Target="/xl/worksheets/sheet11.xml" Id="R5dc5baed618545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b83ae6bf3ef4f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Continuous Assurance Indicators</a:t>
            </a:r>
          </a:p>
        </c:rich>
      </c:tx>
      <c:overlay val="0"/>
    </c:title>
    <c:autoTitleDeleted val="0"/>
    <c:plotArea>
      <c:layout/>
      <c:barChart>
        <c:barDir val="col"/>
        <c:grouping val="clustered"/>
        <c:varyColors val="0"/>
        <c:ser>
          <c:idx val="0"/>
          <c:order val="0"/>
          <c:tx>
            <c:v>Series 1</c:v>
          </c:tx>
          <c:cat>
            <c:strRef>
              <c:f>'Dashboard'!$A$5:$A$14</c:f>
              <c:strCache>
                <c:ptCount val="0"/>
              </c:strCache>
            </c:strRef>
          </c:cat>
          <c:val>
            <c:numRef>
              <c:f>'Dashboard'!$B$5:$B$14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83ae6bf3ef4f0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ssuranceProgramsTable" displayName="AssuranceProgramsTable" ref="A4:J5" headerRowCount="1">
  <x:tableColumns count="10">
    <x:tableColumn id="1" name="Program Code"/>
    <x:tableColumn id="2" name="Name"/>
    <x:tableColumn id="3" name="Scope"/>
    <x:tableColumn id="4" name="Status"/>
    <x:tableColumn id="5" name="Cadence Days"/>
    <x:tableColumn id="6" name="Lookahead Days"/>
    <x:tableColumn id="7" name="Owner Role"/>
    <x:tableColumn id="8" name="Start Date"/>
    <x:tableColumn id="9" name="End Date"/>
    <x:tableColumn id="10" name="Active Flag"/>
  </x:tableColumns>
  <x:tableStyleInfo name="TableStyleMedium2" showRowStripes="1"/>
</x:table>
</file>

<file path=xl/tables/table2.xml><?xml version="1.0" encoding="utf-8"?>
<x:table xmlns:x="http://schemas.openxmlformats.org/spreadsheetml/2006/main" id="2" name="AssuranceControlTable" displayName="AssuranceControlTable" ref="A4:M52" headerRowCount="1">
  <x:tableColumns count="13">
    <x:tableColumn id="1" name="Control Code"/>
    <x:tableColumn id="2" name="Program"/>
    <x:tableColumn id="3" name="ME_ID"/>
    <x:tableColumn id="4" name="Standard"/>
    <x:tableColumn id="5" name="ESR"/>
    <x:tableColumn id="6" name="Official Text"/>
    <x:tableColumn id="7" name="EOC"/>
    <x:tableColumn id="8" name="Critical"/>
    <x:tableColumn id="9" name="Cadence Days"/>
    <x:tableColumn id="10" name="Owner Role"/>
    <x:tableColumn id="11" name="Last Completed"/>
    <x:tableColumn id="12" name="Next Due"/>
    <x:tableColumn id="13" name="Status"/>
  </x:tableColumns>
  <x:tableStyleInfo name="TableStyleMedium2" showRowStripes="1"/>
</x:table>
</file>

<file path=xl/tables/table3.xml><?xml version="1.0" encoding="utf-8"?>
<x:table xmlns:x="http://schemas.openxmlformats.org/spreadsheetml/2006/main" id="3" name="AssuranceCyclesTable" displayName="AssuranceCyclesTable" ref="A4:J5" headerRowCount="1">
  <x:tableColumns count="10">
    <x:tableColumn id="1" name="Cycle Code"/>
    <x:tableColumn id="2" name="Program"/>
    <x:tableColumn id="3" name="Period"/>
    <x:tableColumn id="4" name="Status"/>
    <x:tableColumn id="5" name="Opened At"/>
    <x:tableColumn id="6" name="Due At"/>
    <x:tableColumn id="7" name="Closed At"/>
    <x:tableColumn id="8" name="Task Total"/>
    <x:tableColumn id="9" name="Task Fail"/>
    <x:tableColumn id="10" name="Evidence Ref"/>
  </x:tableColumns>
  <x:tableStyleInfo name="TableStyleMedium2" showRowStripes="1"/>
</x:table>
</file>

<file path=xl/tables/table4.xml><?xml version="1.0" encoding="utf-8"?>
<x:table xmlns:x="http://schemas.openxmlformats.org/spreadsheetml/2006/main" id="4" name="AssuranceTasksTable" displayName="AssuranceTasksTable" ref="A4:L52" headerRowCount="1">
  <x:tableColumns count="12">
    <x:tableColumn id="1" name="Cycle Code"/>
    <x:tableColumn id="2" name="Task No"/>
    <x:tableColumn id="3" name="Control Code"/>
    <x:tableColumn id="4" name="ME_ID"/>
    <x:tableColumn id="5" name="Critical"/>
    <x:tableColumn id="6" name="Owner Role"/>
    <x:tableColumn id="7" name="Due At"/>
    <x:tableColumn id="8" name="Status"/>
    <x:tableColumn id="9" name="Result"/>
    <x:tableColumn id="10" name="Evidence Reference"/>
    <x:tableColumn id="11" name="Finding Ref"/>
    <x:tableColumn id="12" name="Comment"/>
  </x:tableColumns>
  <x:tableStyleInfo name="TableStyleMedium2" showRowStripes="1"/>
</x:table>
</file>

<file path=xl/tables/table5.xml><?xml version="1.0" encoding="utf-8"?>
<x:table xmlns:x="http://schemas.openxmlformats.org/spreadsheetml/2006/main" id="5" name="DataQualityRulesTable" displayName="DataQualityRulesTable" ref="A4:G9" headerRowCount="1">
  <x:tableColumns count="7">
    <x:tableColumn id="1" name="Rule Code"/>
    <x:tableColumn id="2" name="Name"/>
    <x:tableColumn id="3" name="Category"/>
    <x:tableColumn id="4" name="Severity"/>
    <x:tableColumn id="5" name="Owner Role"/>
    <x:tableColumn id="6" name="Active"/>
    <x:tableColumn id="7" name="Description"/>
  </x:tableColumns>
  <x:tableStyleInfo name="TableStyleMedium2" showRowStripes="1"/>
</x:table>
</file>

<file path=xl/tables/table6.xml><?xml version="1.0" encoding="utf-8"?>
<x:table xmlns:x="http://schemas.openxmlformats.org/spreadsheetml/2006/main" id="6" name="DataQualityIssuesTable" displayName="DataQualityIssuesTable" ref="A4:J34" headerRowCount="1">
  <x:tableColumns count="10">
    <x:tableColumn id="1" name="Run Code"/>
    <x:tableColumn id="2" name="Issue ID"/>
    <x:tableColumn id="3" name="Rule Code"/>
    <x:tableColumn id="4" name="Entity Type"/>
    <x:tableColumn id="5" name="Entity ID"/>
    <x:tableColumn id="6" name="Message"/>
    <x:tableColumn id="7" name="Severity"/>
    <x:tableColumn id="8" name="Status"/>
    <x:tableColumn id="9" name="Owner Role"/>
    <x:tableColumn id="10" name="Evidence Ref"/>
  </x:tableColumns>
  <x:tableStyleInfo name="TableStyleMedium2" showRowStripes="1"/>
</x:table>
</file>

<file path=xl/tables/table7.xml><?xml version="1.0" encoding="utf-8"?>
<x:table xmlns:x="http://schemas.openxmlformats.org/spreadsheetml/2006/main" id="7" name="RolloutWavesTable" displayName="RolloutWavesTable" ref="A4:I5" headerRowCount="1">
  <x:tableColumns count="9">
    <x:tableColumn id="1" name="Wave Code"/>
    <x:tableColumn id="2" name="Name"/>
    <x:tableColumn id="3" name="Template Site"/>
    <x:tableColumn id="4" name="Status"/>
    <x:tableColumn id="5" name="Planned Start"/>
    <x:tableColumn id="6" name="Planned End"/>
    <x:tableColumn id="7" name="Owner Role"/>
    <x:tableColumn id="8" name="Site Total"/>
    <x:tableColumn id="9" name="Site Ready"/>
  </x:tableColumns>
  <x:tableStyleInfo name="TableStyleMedium2" showRowStripes="1"/>
</x:table>
</file>

<file path=xl/tables/table8.xml><?xml version="1.0" encoding="utf-8"?>
<x:table xmlns:x="http://schemas.openxmlformats.org/spreadsheetml/2006/main" id="8" name="RolloutSitesTable" displayName="RolloutSitesTable" ref="A4:M24" headerRowCount="1">
  <x:tableColumns count="13">
    <x:tableColumn id="1" name="Wave Code"/>
    <x:tableColumn id="2" name="Site Code"/>
    <x:tableColumn id="3" name="Site Name"/>
    <x:tableColumn id="4" name="Status"/>
    <x:tableColumn id="5" name="Baseline Imported"/>
    <x:tableColumn id="6" name="Users Ready"/>
    <x:tableColumn id="7" name="Training Complete"/>
    <x:tableColumn id="8" name="Deployment Pass"/>
    <x:tableColumn id="9" name="OIDC Pass"/>
    <x:tableColumn id="10" name="Go-Live Ready"/>
    <x:tableColumn id="11" name="Evidence Ref"/>
    <x:tableColumn id="12" name="Owner"/>
    <x:tableColumn id="1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59478951294fcf" /></Relationships>
</file>

<file path=xl/worksheets/_rels/sheet3.xml.rels>&#65279;<?xml version="1.0" encoding="utf-8"?><Relationships xmlns="http://schemas.openxmlformats.org/package/2006/relationships"><Relationship Type="http://schemas.openxmlformats.org/officeDocument/2006/relationships/table" Target="/xl/tables/table2.xml" Id="R49c43f207d294f60" /></Relationships>
</file>

<file path=xl/worksheets/_rels/sheet4.xml.rels>&#65279;<?xml version="1.0" encoding="utf-8"?><Relationships xmlns="http://schemas.openxmlformats.org/package/2006/relationships"><Relationship Type="http://schemas.openxmlformats.org/officeDocument/2006/relationships/table" Target="/xl/tables/table3.xml" Id="R7dbed3c29448476d" /></Relationships>
</file>

<file path=xl/worksheets/_rels/sheet5.xml.rels>&#65279;<?xml version="1.0" encoding="utf-8"?><Relationships xmlns="http://schemas.openxmlformats.org/package/2006/relationships"><Relationship Type="http://schemas.openxmlformats.org/officeDocument/2006/relationships/table" Target="/xl/tables/table4.xml" Id="Rc9cd748f7c274145" /></Relationships>
</file>

<file path=xl/worksheets/_rels/sheet6.xml.rels>&#65279;<?xml version="1.0" encoding="utf-8"?><Relationships xmlns="http://schemas.openxmlformats.org/package/2006/relationships"><Relationship Type="http://schemas.openxmlformats.org/officeDocument/2006/relationships/table" Target="/xl/tables/table5.xml" Id="R4067360ef35c478a" /></Relationships>
</file>

<file path=xl/worksheets/_rels/sheet7.xml.rels>&#65279;<?xml version="1.0" encoding="utf-8"?><Relationships xmlns="http://schemas.openxmlformats.org/package/2006/relationships"><Relationship Type="http://schemas.openxmlformats.org/officeDocument/2006/relationships/table" Target="/xl/tables/table6.xml" Id="R49c1be30b8394aa5" /></Relationships>
</file>

<file path=xl/worksheets/_rels/sheet8.xml.rels>&#65279;<?xml version="1.0" encoding="utf-8"?><Relationships xmlns="http://schemas.openxmlformats.org/package/2006/relationships"><Relationship Type="http://schemas.openxmlformats.org/officeDocument/2006/relationships/table" Target="/xl/tables/table7.xml" Id="R269eb3f3de6245a6" /></Relationships>
</file>

<file path=xl/worksheets/_rels/sheet9.xml.rels>&#65279;<?xml version="1.0" encoding="utf-8"?><Relationships xmlns="http://schemas.openxmlformats.org/package/2006/relationships"><Relationship Type="http://schemas.openxmlformats.org/officeDocument/2006/relationships/table" Target="/xl/tables/table8.xml" Id="Rccefd8abeb9b4247" /></Relationships>
</file>

<file path=xl/worksheets/_rels/sheet10.xml.rels>&#65279;<?xml version="1.0" encoding="utf-8"?><Relationships xmlns="http://schemas.openxmlformats.org/package/2006/relationships"><Relationship Type="http://schemas.openxmlformats.org/officeDocument/2006/relationships/drawing" Target="/xl/drawings/drawing1.xml" Id="Ra6ff098dfcd34d16" /></Relationships>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ht="18" hidden="0" customHeight="1">
      <x:c r="A1" s="40" t="str">
        <x:v>PIOS - حزمة الضمان المستمر وجودة البيانات والتوسع</x:v>
      </x:c>
      <x:c r="B1" s="40"/>
      <x:c r="C1" s="40"/>
      <x:c r="D1" s="40"/>
      <x:c r="E1" s="40"/>
      <x:c r="F1" s="40"/>
      <x:c r="G1" s="41"/>
      <x:c r="H1" s="41"/>
      <x:c r="I1" s="41"/>
      <x:c r="J1" s="41"/>
      <x:c r="K1" s="41"/>
      <x:c r="L1" s="41"/>
      <x:c r="M1" s="41"/>
      <x:c r="N1" s="41"/>
      <x:c r="O1" s="41"/>
      <x:c r="P1" s="41"/>
      <x:c r="Q1" s="41"/>
      <x:c r="R1" s="41"/>
      <x:c r="S1" s="41"/>
      <x:c r="T1" s="41"/>
      <x:c r="U1" s="41"/>
      <x:c r="V1" s="41"/>
      <x:c r="W1" s="41"/>
      <x:c r="X1" s="41"/>
      <x:c r="Y1" s="41"/>
      <x:c r="Z1" s="41"/>
    </x:row>
    <x:row r="2" ht="18" hidden="0" customHeight="1">
      <x:c r="A2" s="40"/>
      <x:c r="B2" s="40"/>
      <x:c r="C2" s="40"/>
      <x:c r="D2" s="40"/>
      <x:c r="E2" s="40"/>
      <x:c r="F2" s="40"/>
      <x:c r="G2" s="41"/>
      <x:c r="H2" s="41"/>
      <x:c r="I2" s="41"/>
      <x:c r="J2" s="41"/>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ht="15" hidden="0" customHeight="1">
      <x:c r="A4" s="42" t="str">
        <x:v>البند</x:v>
      </x:c>
      <x:c r="B4" s="43" t="str">
        <x:v>الوصف</x:v>
      </x:c>
      <x:c r="C4" s="41"/>
      <x:c r="D4" s="41"/>
      <x:c r="E4" s="41"/>
      <x:c r="F4" s="41"/>
      <x:c r="G4" s="41"/>
      <x:c r="H4" s="41"/>
      <x:c r="I4" s="41"/>
      <x:c r="J4" s="41"/>
      <x:c r="K4" s="41"/>
      <x:c r="L4" s="41"/>
      <x:c r="M4" s="41"/>
      <x:c r="N4" s="41"/>
      <x:c r="O4" s="41"/>
      <x:c r="P4" s="41"/>
      <x:c r="Q4" s="41"/>
      <x:c r="R4" s="41"/>
      <x:c r="S4" s="41"/>
      <x:c r="T4" s="41"/>
      <x:c r="U4" s="41"/>
      <x:c r="V4" s="41"/>
      <x:c r="W4" s="41"/>
      <x:c r="X4" s="41"/>
      <x:c r="Y4" s="41"/>
      <x:c r="Z4" s="41"/>
    </x:row>
    <x:row r="5" ht="15" hidden="0" customHeight="1">
      <x:c r="A5" s="42" t="str">
        <x:v>الغرض</x:v>
      </x:c>
      <x:c r="B5" s="43" t="str">
        <x:v>تشغيل الضوابط الدورية، دورات الضمان، فحوص جودة البيانات وموجات التوسع بعد إطلاق المنصة.</x:v>
      </x:c>
      <x:c r="C5" s="41"/>
      <x:c r="D5" s="41"/>
      <x:c r="E5" s="41"/>
      <x:c r="F5" s="41"/>
      <x:c r="G5" s="41"/>
      <x:c r="H5" s="41"/>
      <x:c r="I5" s="41"/>
      <x:c r="J5" s="41"/>
      <x:c r="K5" s="41"/>
      <x:c r="L5" s="41"/>
      <x:c r="M5" s="41"/>
      <x:c r="N5" s="41"/>
      <x:c r="O5" s="41"/>
      <x:c r="P5" s="41"/>
      <x:c r="Q5" s="41"/>
      <x:c r="R5" s="41"/>
      <x:c r="S5" s="41"/>
      <x:c r="T5" s="41"/>
      <x:c r="U5" s="41"/>
      <x:c r="V5" s="41"/>
      <x:c r="W5" s="41"/>
      <x:c r="X5" s="41"/>
      <x:c r="Y5" s="41"/>
      <x:c r="Z5" s="41"/>
    </x:row>
    <x:row r="6" ht="15" hidden="0" customHeight="1">
      <x:c r="A6" s="42" t="str">
        <x:v>النطاق الأول</x:v>
      </x:c>
      <x:c r="B6" s="43" t="str">
        <x:v>48 عنصرًا P0/ESR وفق حزمة المشروع، مع دورية شهرية للـESR وربع سنوية لبقية العناصر.</x:v>
      </x:c>
      <x:c r="C6" s="41"/>
      <x:c r="D6" s="41"/>
      <x:c r="E6" s="41"/>
      <x:c r="F6" s="41"/>
      <x:c r="G6" s="41"/>
      <x:c r="H6" s="41"/>
      <x:c r="I6" s="41"/>
      <x:c r="J6" s="41"/>
      <x:c r="K6" s="41"/>
      <x:c r="L6" s="41"/>
      <x:c r="M6" s="41"/>
      <x:c r="N6" s="41"/>
      <x:c r="O6" s="41"/>
      <x:c r="P6" s="41"/>
      <x:c r="Q6" s="41"/>
      <x:c r="R6" s="41"/>
      <x:c r="S6" s="41"/>
      <x:c r="T6" s="41"/>
      <x:c r="U6" s="41"/>
      <x:c r="V6" s="41"/>
      <x:c r="W6" s="41"/>
      <x:c r="X6" s="41"/>
      <x:c r="Y6" s="41"/>
      <x:c r="Z6" s="41"/>
    </x:row>
    <x:row r="7" ht="15" hidden="0" customHeight="1">
      <x:c r="A7" s="42" t="str">
        <x:v>تنبيه</x:v>
      </x:c>
      <x:c r="B7" s="43" t="str">
        <x:v>اكتمال المهمة لا يعني إغلاق الخطر؛ فشل الضابط الحرج يتطلب Finding وCAPA واختبار فعالية.</x:v>
      </x:c>
      <x:c r="C7" s="41"/>
      <x:c r="D7" s="41"/>
      <x:c r="E7" s="41"/>
      <x:c r="F7" s="41"/>
      <x:c r="G7" s="41"/>
      <x:c r="H7" s="41"/>
      <x:c r="I7" s="41"/>
      <x:c r="J7" s="41"/>
      <x:c r="K7" s="41"/>
      <x:c r="L7" s="41"/>
      <x:c r="M7" s="41"/>
      <x:c r="N7" s="41"/>
      <x:c r="O7" s="41"/>
      <x:c r="P7" s="41"/>
      <x:c r="Q7" s="41"/>
      <x:c r="R7" s="41"/>
      <x:c r="S7" s="41"/>
      <x:c r="T7" s="41"/>
      <x:c r="U7" s="41"/>
      <x:c r="V7" s="41"/>
      <x:c r="W7" s="41"/>
      <x:c r="X7" s="41"/>
      <x:c r="Y7" s="41"/>
      <x:c r="Z7" s="41"/>
    </x:row>
    <x:row r="8" ht="15" hidden="0" customHeight="1">
      <x:c r="A8" s="42" t="str">
        <x:v>جودة البيانات</x:v>
      </x:c>
      <x:c r="B8" s="43" t="str">
        <x:v>DQ Issues منفصلة عن Findings السريرية والاعتمادية.</x:v>
      </x:c>
      <x:c r="C8" s="41"/>
      <x:c r="D8" s="41"/>
      <x:c r="E8" s="41"/>
      <x:c r="F8" s="41"/>
      <x:c r="G8" s="41"/>
      <x:c r="H8" s="41"/>
      <x:c r="I8" s="41"/>
      <x:c r="J8" s="41"/>
      <x:c r="K8" s="41"/>
      <x:c r="L8" s="41"/>
      <x:c r="M8" s="41"/>
      <x:c r="N8" s="41"/>
      <x:c r="O8" s="41"/>
      <x:c r="P8" s="41"/>
      <x:c r="Q8" s="41"/>
      <x:c r="R8" s="41"/>
      <x:c r="S8" s="41"/>
      <x:c r="T8" s="41"/>
      <x:c r="U8" s="41"/>
      <x:c r="V8" s="41"/>
      <x:c r="W8" s="41"/>
      <x:c r="X8" s="41"/>
      <x:c r="Y8" s="41"/>
      <x:c r="Z8" s="41"/>
    </x:row>
    <x:row r="9" ht="15" hidden="0" customHeight="1">
      <x:c r="A9" s="42" t="str">
        <x:v>التوسع</x:v>
      </x:c>
      <x:c r="B9" s="43" t="str">
        <x:v>لا يصبح الموقع جاهزًا حتى نجاح الاستيراد والمستخدمين والتدريب والنشر وOIDC.</x:v>
      </x:c>
      <x:c r="C9" s="41"/>
      <x:c r="D9" s="41"/>
      <x:c r="E9" s="41"/>
      <x:c r="F9" s="41"/>
      <x:c r="G9" s="41"/>
      <x:c r="H9" s="41"/>
      <x:c r="I9" s="41"/>
      <x:c r="J9" s="41"/>
      <x:c r="K9" s="41"/>
      <x:c r="L9" s="41"/>
      <x:c r="M9" s="41"/>
      <x:c r="N9" s="41"/>
      <x:c r="O9" s="41"/>
      <x:c r="P9" s="41"/>
      <x:c r="Q9" s="41"/>
      <x:c r="R9" s="41"/>
      <x:c r="S9" s="41"/>
      <x:c r="T9" s="41"/>
      <x:c r="U9" s="41"/>
      <x:c r="V9" s="41"/>
      <x:c r="W9" s="41"/>
      <x:c r="X9" s="41"/>
      <x:c r="Y9" s="41"/>
      <x:c r="Z9" s="41"/>
    </x:row>
    <x:row r="10" ht="15" hidden="0" customHeight="1">
      <x:c r="A10" s="42" t="str">
        <x:v>خطوات الاستخدام</x:v>
      </x:c>
      <x:c r="B10" s="43" t="str">
        <x:v>1) تفعيل البرنامج 2) إنشاء دورة 3) تنفيذ المهام 4) تشغيل DQ 5) مراجعة Dashboard.</x:v>
      </x:c>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ht="15" hidden="0" customHeight="1">
      <x:c r="A11" s="42" t="str">
        <x:v>إصدار المنصة</x:v>
      </x:c>
      <x:c r="B11" s="43" t="str">
        <x:v>Full Stack v0.9 / Frontend v0.5</x:v>
      </x:c>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ht="15" hidden="0" customHeight="1">
      <x:c r="A12" s="42" t="str">
        <x:v>تاريخ الإنشاء</x:v>
      </x:c>
      <x:c r="B12" s="44" t="n">
        <x:v>46235.67291666667</x:v>
      </x:c>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ht="15" hidden="0" customHeight="1">
      <x:c r="A13" s="42" t="str">
        <x:v>الجاهزية الفعلية</x:v>
      </x:c>
      <x:c r="B13" s="43" t="str">
        <x:v>غير محسومة حتى إدخال نتائج وأدلة مؤسسية حقيقية.</x:v>
      </x:c>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42" hidden="0" customWidth="1"/>
    <x:col min="3" max="3" width="16" hidden="0" customWidth="1"/>
    <x:col min="4" max="4" width="14" hidden="0" customWidth="1"/>
    <x:col min="5" max="5" width="14" hidden="0" customWidth="1"/>
    <x:col min="6" max="6" width="16" hidden="0" customWidth="1"/>
    <x:col min="7" max="7" width="24" hidden="0" customWidth="1"/>
    <x:col min="8" max="8" width="14" hidden="0" customWidth="1"/>
    <x:col min="9" max="9" width="14" hidden="0" customWidth="1"/>
    <x:col min="10" max="10" width="12" hidden="0" customWidth="1"/>
  </x:cols>
  <x:sheetData>
    <x:row r="1">
      <x:c r="A1" s="40" t="str">
        <x:v>برامج الضمان المستمر</x:v>
      </x:c>
      <x:c r="B1" s="40"/>
      <x:c r="C1" s="40"/>
      <x:c r="D1" s="40"/>
      <x:c r="E1" s="40"/>
      <x:c r="F1" s="40"/>
      <x:c r="G1" s="40"/>
      <x:c r="H1" s="40"/>
      <x:c r="I1" s="40"/>
      <x:c r="J1" s="40"/>
      <x:c r="K1" s="41"/>
      <x:c r="L1" s="41"/>
      <x:c r="M1" s="41"/>
      <x:c r="N1" s="41"/>
      <x:c r="O1" s="41"/>
      <x:c r="P1" s="41"/>
      <x:c r="Q1" s="41"/>
      <x:c r="R1" s="41"/>
      <x:c r="S1" s="41"/>
      <x:c r="T1" s="41"/>
      <x:c r="U1" s="41"/>
      <x:c r="V1" s="41"/>
      <x:c r="W1" s="41"/>
      <x:c r="X1" s="41"/>
      <x:c r="Y1" s="41"/>
      <x:c r="Z1" s="41"/>
    </x:row>
    <x:row r="2">
      <x:c r="A2" s="40"/>
      <x:c r="B2" s="40"/>
      <x:c r="C2" s="40"/>
      <x:c r="D2" s="40"/>
      <x:c r="E2" s="40"/>
      <x:c r="F2" s="40"/>
      <x:c r="G2" s="40"/>
      <x:c r="H2" s="40"/>
      <x:c r="I2" s="40"/>
      <x:c r="J2" s="40"/>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Program Code</x:v>
      </x:c>
      <x:c r="B4" s="50" t="str">
        <x:v>Name</x:v>
      </x:c>
      <x:c r="C4" s="50" t="str">
        <x:v>Scope</x:v>
      </x:c>
      <x:c r="D4" s="50" t="str">
        <x:v>Status</x:v>
      </x:c>
      <x:c r="E4" s="50" t="str">
        <x:v>Cadence Days</x:v>
      </x:c>
      <x:c r="F4" s="50" t="str">
        <x:v>Lookahead Days</x:v>
      </x:c>
      <x:c r="G4" s="50" t="str">
        <x:v>Owner Role</x:v>
      </x:c>
      <x:c r="H4" s="50" t="str">
        <x:v>Start Date</x:v>
      </x:c>
      <x:c r="I4" s="50" t="str">
        <x:v>End Date</x:v>
      </x:c>
      <x:c r="J4" s="50" t="str">
        <x:v>Active Flag</x:v>
      </x:c>
      <x:c r="K4" s="41"/>
      <x:c r="L4" s="41"/>
      <x:c r="M4" s="41"/>
      <x:c r="N4" s="41"/>
      <x:c r="O4" s="41"/>
      <x:c r="P4" s="41"/>
      <x:c r="Q4" s="41"/>
      <x:c r="R4" s="41"/>
      <x:c r="S4" s="41"/>
      <x:c r="T4" s="41"/>
      <x:c r="U4" s="41"/>
      <x:c r="V4" s="41"/>
      <x:c r="W4" s="41"/>
      <x:c r="X4" s="41"/>
      <x:c r="Y4" s="41"/>
      <x:c r="Z4" s="41"/>
    </x:row>
    <x:row r="5">
      <x:c r="A5" s="43" t="str">
        <x:v>TGH-P0-ESR</x:v>
      </x:c>
      <x:c r="B5" s="43" t="str">
        <x:v>Turaif P0 and ESR Continuous Assurance</x:v>
      </x:c>
      <x:c r="C5" s="43" t="str">
        <x:v>P0_ESR</x:v>
      </x:c>
      <x:c r="D5" s="43" t="str">
        <x:v>Active</x:v>
      </x:c>
      <x:c r="E5" s="43" t="n">
        <x:v>90</x:v>
      </x:c>
      <x:c r="F5" s="43" t="n">
        <x:v>30</x:v>
      </x:c>
      <x:c r="G5" s="43" t="str">
        <x:v>AccreditationLead</x:v>
      </x:c>
      <x:c r="H5" s="51" t="n">
        <x:v>46235</x:v>
      </x:c>
      <x:c r="I5" s="51"/>
      <x:c r="J5" s="43" t="n">
        <x:v>1</x:v>
      </x:c>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J2"/>
  </x:mergeCells>
  <x:dataValidations count="1">
    <x:dataValidation type="list" sqref="D5">
      <x:formula1>_Lists!$A$2:$A$5</x:formula1>
    </x:dataValidation>
  </x:dataValidations>
  <x:pageMargins left="0.7" right="0.7" top="0.75" bottom="0.75" header="0.3" footer="0.3"/>
  <x:tableParts count="1">
    <x:tablePart xmlns:r="http://schemas.openxmlformats.org/officeDocument/2006/relationships" r:id="R1559478951294fcf"/>
  </x:tableParts>
</x:worksheet>
</file>

<file path=xl/worksheets/sheet3.xml><?xml version="1.0" encoding="utf-8"?>
<x:worksheet xmlns:x="http://schemas.openxmlformats.org/spreadsheetml/2006/main">
  <x:sheetFormatPr defaultRowHeight="15"/>
  <x:cols>
    <x:col min="1" max="1" width="22" hidden="0" customWidth="1"/>
    <x:col min="2" max="2" width="18" hidden="0" customWidth="1"/>
    <x:col min="3" max="3" width="12" hidden="0" customWidth="1"/>
    <x:col min="4" max="4" width="12" hidden="0" customWidth="1"/>
    <x:col min="5" max="5" width="8" hidden="0" customWidth="1"/>
    <x:col min="6" max="6" width="80" hidden="0" customWidth="1"/>
    <x:col min="7" max="7" width="18" hidden="0" customWidth="1"/>
    <x:col min="8" max="8" width="10" hidden="0" customWidth="1"/>
    <x:col min="9" max="9" width="14" hidden="0" customWidth="1"/>
    <x:col min="10" max="10" width="24" hidden="0" customWidth="1"/>
    <x:col min="11" max="11" width="20" hidden="0" customWidth="1"/>
    <x:col min="12" max="12" width="20" hidden="0" customWidth="1"/>
    <x:col min="13" max="13" width="12" hidden="0" customWidth="1"/>
  </x:cols>
  <x:sheetData>
    <x:row r="1">
      <x:c r="A1" s="40" t="str">
        <x:v>سجل الضوابط الدورية P0/ESR - 48 عنصرًا</x:v>
      </x:c>
      <x:c r="B1" s="40"/>
      <x:c r="C1" s="40"/>
      <x:c r="D1" s="40"/>
      <x:c r="E1" s="40"/>
      <x:c r="F1" s="40"/>
      <x:c r="G1" s="40"/>
      <x:c r="H1" s="40"/>
      <x:c r="I1" s="40"/>
      <x:c r="J1" s="40"/>
      <x:c r="K1" s="40"/>
      <x:c r="L1" s="40"/>
      <x:c r="M1" s="40"/>
      <x:c r="N1" s="41"/>
      <x:c r="O1" s="41"/>
      <x:c r="P1" s="41"/>
      <x:c r="Q1" s="41"/>
      <x:c r="R1" s="41"/>
      <x:c r="S1" s="41"/>
      <x:c r="T1" s="41"/>
      <x:c r="U1" s="41"/>
      <x:c r="V1" s="41"/>
      <x:c r="W1" s="41"/>
      <x:c r="X1" s="41"/>
      <x:c r="Y1" s="41"/>
      <x:c r="Z1" s="41"/>
    </x:row>
    <x:row r="2">
      <x:c r="A2" s="40"/>
      <x:c r="B2" s="40"/>
      <x:c r="C2" s="40"/>
      <x:c r="D2" s="40"/>
      <x:c r="E2" s="40"/>
      <x:c r="F2" s="40"/>
      <x:c r="G2" s="40"/>
      <x:c r="H2" s="40"/>
      <x:c r="I2" s="40"/>
      <x:c r="J2" s="40"/>
      <x:c r="K2" s="40"/>
      <x:c r="L2" s="40"/>
      <x:c r="M2" s="40"/>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Control Code</x:v>
      </x:c>
      <x:c r="B4" s="50" t="str">
        <x:v>Program</x:v>
      </x:c>
      <x:c r="C4" s="50" t="str">
        <x:v>ME_ID</x:v>
      </x:c>
      <x:c r="D4" s="50" t="str">
        <x:v>Standard</x:v>
      </x:c>
      <x:c r="E4" s="50" t="str">
        <x:v>ESR</x:v>
      </x:c>
      <x:c r="F4" s="50" t="str">
        <x:v>Official Text</x:v>
      </x:c>
      <x:c r="G4" s="50" t="str">
        <x:v>EOC</x:v>
      </x:c>
      <x:c r="H4" s="50" t="str">
        <x:v>Critical</x:v>
      </x:c>
      <x:c r="I4" s="50" t="str">
        <x:v>Cadence Days</x:v>
      </x:c>
      <x:c r="J4" s="50" t="str">
        <x:v>Owner Role</x:v>
      </x:c>
      <x:c r="K4" s="50" t="str">
        <x:v>Last Completed</x:v>
      </x:c>
      <x:c r="L4" s="50" t="str">
        <x:v>Next Due</x:v>
      </x:c>
      <x:c r="M4" s="50" t="str">
        <x:v>Status</x:v>
      </x:c>
      <x:c r="N4" s="41"/>
      <x:c r="O4" s="41"/>
      <x:c r="P4" s="41"/>
      <x:c r="Q4" s="41"/>
      <x:c r="R4" s="41"/>
      <x:c r="S4" s="41"/>
      <x:c r="T4" s="41"/>
      <x:c r="U4" s="41"/>
      <x:c r="V4" s="41"/>
      <x:c r="W4" s="41"/>
      <x:c r="X4" s="41"/>
      <x:c r="Y4" s="41"/>
      <x:c r="Z4" s="41"/>
    </x:row>
    <x:row r="5">
      <x:c r="A5" s="43" t="str">
        <x:v>CTRL-MM-3-6</x:v>
      </x:c>
      <x:c r="B5" s="43" t="str">
        <x:v>TGH-P0-ESR</x:v>
      </x:c>
      <x:c r="C5" s="43" t="str">
        <x:v>MM.3.6</x:v>
      </x:c>
      <x:c r="D5" s="43" t="str">
        <x:v>MM.3</x:v>
      </x:c>
      <x:c r="E5" s="54" t="b">
        <x:v>0</x:v>
      </x:c>
      <x:c r="F5" s="43" t="str">
        <x:v>There is a process to ensure that the new employee's competency is evaluated before allowed to work independently.</x:v>
      </x:c>
      <x:c r="G5" s="43" t="str">
        <x:v>PF</x:v>
      </x:c>
      <x:c r="H5" s="54" t="b">
        <x:v>1</x:v>
      </x:c>
      <x:c r="I5" s="43" t="n">
        <x:v>90</x:v>
      </x:c>
      <x:c r="J5" s="43" t="str">
        <x:v>MEOwner</x:v>
      </x:c>
      <x:c r="K5" s="44"/>
      <x:c r="L5" s="44" t="n">
        <x:v>46325.67291666667</x:v>
      </x:c>
      <x:c r="M5" s="43" t="str">
        <x:v>Active</x:v>
      </x:c>
      <x:c r="N5" s="41"/>
      <x:c r="O5" s="41"/>
      <x:c r="P5" s="41"/>
      <x:c r="Q5" s="41"/>
      <x:c r="R5" s="41"/>
      <x:c r="S5" s="41"/>
      <x:c r="T5" s="41"/>
      <x:c r="U5" s="41"/>
      <x:c r="V5" s="41"/>
      <x:c r="W5" s="41"/>
      <x:c r="X5" s="41"/>
      <x:c r="Y5" s="41"/>
      <x:c r="Z5" s="41"/>
    </x:row>
    <x:row r="6">
      <x:c r="A6" s="43" t="str">
        <x:v>CTRL-MM-5-1</x:v>
      </x:c>
      <x:c r="B6" s="43" t="str">
        <x:v>TGH-P0-ESR</x:v>
      </x:c>
      <x:c r="C6" s="43" t="str">
        <x:v>MM.5.1</x:v>
      </x:c>
      <x:c r="D6" s="43" t="str">
        <x:v>MM.5</x:v>
      </x:c>
      <x:c r="E6" s="54" t="b">
        <x:v>1</x:v>
      </x:c>
      <x:c r="F6" s="43" t="str">
        <x:v>There is a written multidisciplinary plan for managing high-alert medications and hazardous pharmaceutical chemicals. It includes identification, location, labeling, storage, dispensing, and administration of high-alert medications.</x:v>
      </x:c>
      <x:c r="G6" s="43" t="str">
        <x:v>D</x:v>
      </x:c>
      <x:c r="H6" s="54" t="b">
        <x:v>1</x:v>
      </x:c>
      <x:c r="I6" s="43" t="n">
        <x:v>30</x:v>
      </x:c>
      <x:c r="J6" s="43" t="str">
        <x:v>MedicationSafety</x:v>
      </x:c>
      <x:c r="K6" s="44"/>
      <x:c r="L6" s="44" t="n">
        <x:v>46265.67291666667</x:v>
      </x:c>
      <x:c r="M6" s="43" t="str">
        <x:v>Active</x:v>
      </x:c>
      <x:c r="N6" s="41"/>
      <x:c r="O6" s="41"/>
      <x:c r="P6" s="41"/>
      <x:c r="Q6" s="41"/>
      <x:c r="R6" s="41"/>
      <x:c r="S6" s="41"/>
      <x:c r="T6" s="41"/>
      <x:c r="U6" s="41"/>
      <x:c r="V6" s="41"/>
      <x:c r="W6" s="41"/>
      <x:c r="X6" s="41"/>
      <x:c r="Y6" s="41"/>
      <x:c r="Z6" s="41"/>
    </x:row>
    <x:row r="7">
      <x:c r="A7" s="43" t="str">
        <x:v>CTRL-MM-5-2</x:v>
      </x:c>
      <x:c r="B7" s="43" t="str">
        <x:v>TGH-P0-ESR</x:v>
      </x:c>
      <x:c r="C7" s="43" t="str">
        <x:v>MM.5.2</x:v>
      </x:c>
      <x:c r="D7" s="43" t="str">
        <x:v>MM.5</x:v>
      </x:c>
      <x:c r="E7" s="54" t="b">
        <x:v>1</x:v>
      </x:c>
      <x:c r="F7" s="43" t="str">
        <x:v>The hospital identifies an annually updated list of high-alert medications and hazardous pharmaceutical chemicals based on its own data and national and international recognized organizations (e.g., Institute of Safe Medication Practice, World Health Organization). The list contains, but is not limited to, the following: MM.5.2.1 Controlled and narcotics medications. MM.5.2.2 Neuromuscular blockers. MM.5.2.3 Chemotherapeutic agents. MM.5.2.4 Concentrated electrolytes (e.g., hypertonic sodium chloride, concentrated potassium salts). MM.5.2.5 Antithrombotic medications (e.g., heparin, warfarin). MM.5.2.6 Insulins. MM.5.2.7 Anesthetic medications (e.g., propofol, ketamine). MM.5.2.8 Investigational (research) drugs, as applicable. MM.5.2.9 Other medications as identified by the hospital.</x:v>
      </x:c>
      <x:c r="G7" s="43" t="str">
        <x:v>D</x:v>
      </x:c>
      <x:c r="H7" s="54" t="b">
        <x:v>1</x:v>
      </x:c>
      <x:c r="I7" s="43" t="n">
        <x:v>30</x:v>
      </x:c>
      <x:c r="J7" s="43" t="str">
        <x:v>MedicationSafety</x:v>
      </x:c>
      <x:c r="K7" s="44"/>
      <x:c r="L7" s="44" t="n">
        <x:v>46265.67291666667</x:v>
      </x:c>
      <x:c r="M7" s="43" t="str">
        <x:v>Active</x:v>
      </x:c>
      <x:c r="N7" s="41"/>
      <x:c r="O7" s="41"/>
      <x:c r="P7" s="41"/>
      <x:c r="Q7" s="41"/>
      <x:c r="R7" s="41"/>
      <x:c r="S7" s="41"/>
      <x:c r="T7" s="41"/>
      <x:c r="U7" s="41"/>
      <x:c r="V7" s="41"/>
      <x:c r="W7" s="41"/>
      <x:c r="X7" s="41"/>
      <x:c r="Y7" s="41"/>
      <x:c r="Z7" s="41"/>
    </x:row>
    <x:row r="8">
      <x:c r="A8" s="43" t="str">
        <x:v>CTRL-MM-5-3</x:v>
      </x:c>
      <x:c r="B8" s="43" t="str">
        <x:v>TGH-P0-ESR</x:v>
      </x:c>
      <x:c r="C8" s="43" t="str">
        <x:v>MM.5.3</x:v>
      </x:c>
      <x:c r="D8" s="43" t="str">
        <x:v>MM.5</x:v>
      </x:c>
      <x:c r="E8" s="54" t="b">
        <x:v>1</x:v>
      </x:c>
      <x:c r="F8" s="43" t="str">
        <x:v>The hospital plan for managing high-alert medications and hazardous pharmaceutical chemicals is implemented. This includes, but is not limited to, the following: MM.5.3.1 Improving access to information about high-alert medications. MM.5.3.2 Limiting access to high-alert medications. MM.5.3.3 Using auxiliary labels or computerized alerts if available. MM.5.3.4 Standardizing the ordering, transcribing, preparation, dispensing, administration, and monitoring of high-alert medications. MM.5.3.5 Employing independent double checks.</x:v>
      </x:c>
      <x:c r="G8" s="43" t="str">
        <x:v>O,I</x:v>
      </x:c>
      <x:c r="H8" s="54" t="b">
        <x:v>1</x:v>
      </x:c>
      <x:c r="I8" s="43" t="n">
        <x:v>30</x:v>
      </x:c>
      <x:c r="J8" s="43" t="str">
        <x:v>MedicationSafety</x:v>
      </x:c>
      <x:c r="K8" s="44"/>
      <x:c r="L8" s="44" t="n">
        <x:v>46265.67291666667</x:v>
      </x:c>
      <x:c r="M8" s="43" t="str">
        <x:v>Active</x:v>
      </x:c>
      <x:c r="N8" s="41"/>
      <x:c r="O8" s="41"/>
      <x:c r="P8" s="41"/>
      <x:c r="Q8" s="41"/>
      <x:c r="R8" s="41"/>
      <x:c r="S8" s="41"/>
      <x:c r="T8" s="41"/>
      <x:c r="U8" s="41"/>
      <x:c r="V8" s="41"/>
      <x:c r="W8" s="41"/>
      <x:c r="X8" s="41"/>
      <x:c r="Y8" s="41"/>
      <x:c r="Z8" s="41"/>
    </x:row>
    <x:row r="9">
      <x:c r="A9" s="43" t="str">
        <x:v>CTRL-MM-5-4</x:v>
      </x:c>
      <x:c r="B9" s="43" t="str">
        <x:v>TGH-P0-ESR</x:v>
      </x:c>
      <x:c r="C9" s="43" t="str">
        <x:v>MM.5.4</x:v>
      </x:c>
      <x:c r="D9" s="43" t="str">
        <x:v>MM.5</x:v>
      </x:c>
      <x:c r="E9" s="54" t="b">
        <x:v>1</x:v>
      </x:c>
      <x:c r="F9" s="43" t="str">
        <x:v>The hospital develops and implements standard concentrations for all medications administered by intravenous infusion.</x:v>
      </x:c>
      <x:c r="G9" s="43" t="str">
        <x:v>I,D</x:v>
      </x:c>
      <x:c r="H9" s="54" t="b">
        <x:v>1</x:v>
      </x:c>
      <x:c r="I9" s="43" t="n">
        <x:v>30</x:v>
      </x:c>
      <x:c r="J9" s="43" t="str">
        <x:v>MedicationSafety</x:v>
      </x:c>
      <x:c r="K9" s="44"/>
      <x:c r="L9" s="44" t="n">
        <x:v>46265.67291666667</x:v>
      </x:c>
      <x:c r="M9" s="43" t="str">
        <x:v>Active</x:v>
      </x:c>
      <x:c r="N9" s="41"/>
      <x:c r="O9" s="41"/>
      <x:c r="P9" s="41"/>
      <x:c r="Q9" s="41"/>
      <x:c r="R9" s="41"/>
      <x:c r="S9" s="41"/>
      <x:c r="T9" s="41"/>
      <x:c r="U9" s="41"/>
      <x:c r="V9" s="41"/>
      <x:c r="W9" s="41"/>
      <x:c r="X9" s="41"/>
      <x:c r="Y9" s="41"/>
      <x:c r="Z9" s="41"/>
    </x:row>
    <x:row r="10">
      <x:c r="A10" s="43" t="str">
        <x:v>CTRL-MM-6-1</x:v>
      </x:c>
      <x:c r="B10" s="43" t="str">
        <x:v>TGH-P0-ESR</x:v>
      </x:c>
      <x:c r="C10" s="43" t="str">
        <x:v>MM.6.1</x:v>
      </x:c>
      <x:c r="D10" s="43" t="str">
        <x:v>MM.6</x:v>
      </x:c>
      <x:c r="E10" s="54" t="b">
        <x:v>1</x:v>
      </x:c>
      <x:c r="F10" s="43" t="str">
        <x:v>There is a multidisciplinary policy and procedure on handling look-alike/sound-alike (LASA) medications.</x:v>
      </x:c>
      <x:c r="G10" s="43" t="str">
        <x:v>D</x:v>
      </x:c>
      <x:c r="H10" s="54" t="b">
        <x:v>1</x:v>
      </x:c>
      <x:c r="I10" s="43" t="n">
        <x:v>30</x:v>
      </x:c>
      <x:c r="J10" s="43" t="str">
        <x:v>MedicationSafety</x:v>
      </x:c>
      <x:c r="K10" s="44"/>
      <x:c r="L10" s="44" t="n">
        <x:v>46265.67291666667</x:v>
      </x:c>
      <x:c r="M10" s="43" t="str">
        <x:v>Active</x:v>
      </x:c>
      <x:c r="N10" s="41"/>
      <x:c r="O10" s="41"/>
      <x:c r="P10" s="41"/>
      <x:c r="Q10" s="41"/>
      <x:c r="R10" s="41"/>
      <x:c r="S10" s="41"/>
      <x:c r="T10" s="41"/>
      <x:c r="U10" s="41"/>
      <x:c r="V10" s="41"/>
      <x:c r="W10" s="41"/>
      <x:c r="X10" s="41"/>
      <x:c r="Y10" s="41"/>
      <x:c r="Z10" s="41"/>
    </x:row>
    <x:row r="11">
      <x:c r="A11" s="43" t="str">
        <x:v>CTRL-MM-6-2</x:v>
      </x:c>
      <x:c r="B11" s="43" t="str">
        <x:v>TGH-P0-ESR</x:v>
      </x:c>
      <x:c r="C11" s="43" t="str">
        <x:v>MM.6.2</x:v>
      </x:c>
      <x:c r="D11" s="43" t="str">
        <x:v>MM.6</x:v>
      </x:c>
      <x:c r="E11" s="54" t="b">
        <x:v>1</x:v>
      </x:c>
      <x:c r="F11" s="43" t="str">
        <x:v>The hospital reviews and revises annually its list of confusing drug names, which include LASA medication name pairs that the hospital stores, dispenses, and administers</x:v>
      </x:c>
      <x:c r="G11" s="43" t="str">
        <x:v>D</x:v>
      </x:c>
      <x:c r="H11" s="54" t="b">
        <x:v>1</x:v>
      </x:c>
      <x:c r="I11" s="43" t="n">
        <x:v>30</x:v>
      </x:c>
      <x:c r="J11" s="43" t="str">
        <x:v>MedicationSafety</x:v>
      </x:c>
      <x:c r="K11" s="44"/>
      <x:c r="L11" s="44" t="n">
        <x:v>46265.67291666667</x:v>
      </x:c>
      <x:c r="M11" s="43" t="str">
        <x:v>Active</x:v>
      </x:c>
      <x:c r="N11" s="41"/>
      <x:c r="O11" s="41"/>
      <x:c r="P11" s="41"/>
      <x:c r="Q11" s="41"/>
      <x:c r="R11" s="41"/>
      <x:c r="S11" s="41"/>
      <x:c r="T11" s="41"/>
      <x:c r="U11" s="41"/>
      <x:c r="V11" s="41"/>
      <x:c r="W11" s="41"/>
      <x:c r="X11" s="41"/>
      <x:c r="Y11" s="41"/>
      <x:c r="Z11" s="41"/>
    </x:row>
    <x:row r="12">
      <x:c r="A12" s="43" t="str">
        <x:v>CTRL-MM-6-3</x:v>
      </x:c>
      <x:c r="B12" s="43" t="str">
        <x:v>TGH-P0-ESR</x:v>
      </x:c>
      <x:c r="C12" s="43" t="str">
        <x:v>MM.6.3</x:v>
      </x:c>
      <x:c r="D12" s="43" t="str">
        <x:v>MM.6</x:v>
      </x:c>
      <x:c r="E12" s="54" t="b">
        <x:v>1</x:v>
      </x:c>
      <x:c r="F12" s="43" t="str">
        <x:v>The hospital takes actions to prevent errors involving LASA medications including the following, as applicable: MM.6.3.1 Providing education on LASA medications to healthcare professionals at orientation and as part of continuing education. MM.6.3.2 Using both the brand and generic names for prescribing LASA medications. MM.6.3.3 Writing the diagnosis/ indication of the LASA medication on the prescription. MM.6.3.4 Changing the appearance of look-alike product package.. MM.6.3.5 Reading carefully the label each time a medication is accessed, and/or prior to administration MM.6.3.6 Minimizing the use of verbal and telephone orders. MM.6.3.7 Checking the purpose/indication of the medication on the prescription prior to dispensing and administering. MM.6.3.8 Placing LASA medications in locations separate from each other or in non- alphabetical order.</x:v>
      </x:c>
      <x:c r="G12" s="43" t="str">
        <x:v>D,I,O</x:v>
      </x:c>
      <x:c r="H12" s="54" t="b">
        <x:v>1</x:v>
      </x:c>
      <x:c r="I12" s="43" t="n">
        <x:v>30</x:v>
      </x:c>
      <x:c r="J12" s="43" t="str">
        <x:v>MedicationSafety</x:v>
      </x:c>
      <x:c r="K12" s="44"/>
      <x:c r="L12" s="44" t="n">
        <x:v>46265.67291666667</x:v>
      </x:c>
      <x:c r="M12" s="43" t="str">
        <x:v>Active</x:v>
      </x:c>
      <x:c r="N12" s="41"/>
      <x:c r="O12" s="41"/>
      <x:c r="P12" s="41"/>
      <x:c r="Q12" s="41"/>
      <x:c r="R12" s="41"/>
      <x:c r="S12" s="41"/>
      <x:c r="T12" s="41"/>
      <x:c r="U12" s="41"/>
      <x:c r="V12" s="41"/>
      <x:c r="W12" s="41"/>
      <x:c r="X12" s="41"/>
      <x:c r="Y12" s="41"/>
      <x:c r="Z12" s="41"/>
    </x:row>
    <x:row r="13">
      <x:c r="A13" s="43" t="str">
        <x:v>CTRL-MM-12-7</x:v>
      </x:c>
      <x:c r="B13" s="43" t="str">
        <x:v>TGH-P0-ESR</x:v>
      </x:c>
      <x:c r="C13" s="43" t="str">
        <x:v>MM.12.7</x:v>
      </x:c>
      <x:c r="D13" s="43" t="str">
        <x:v>MM.12</x:v>
      </x:c>
      <x:c r="E13" s="54" t="b">
        <x:v>0</x:v>
      </x:c>
      <x:c r="F13" s="43" t="str">
        <x:v>All vaccine refrigerators are connected to emergency power source and electric outlets are marked accordingly</x:v>
      </x:c>
      <x:c r="G13" s="43" t="str">
        <x:v>O</x:v>
      </x:c>
      <x:c r="H13" s="54" t="b">
        <x:v>1</x:v>
      </x:c>
      <x:c r="I13" s="43" t="n">
        <x:v>90</x:v>
      </x:c>
      <x:c r="J13" s="43" t="str">
        <x:v>MEOwner</x:v>
      </x:c>
      <x:c r="K13" s="44"/>
      <x:c r="L13" s="44" t="n">
        <x:v>46325.67291666667</x:v>
      </x:c>
      <x:c r="M13" s="43" t="str">
        <x:v>Active</x:v>
      </x:c>
      <x:c r="N13" s="41"/>
      <x:c r="O13" s="41"/>
      <x:c r="P13" s="41"/>
      <x:c r="Q13" s="41"/>
      <x:c r="R13" s="41"/>
      <x:c r="S13" s="41"/>
      <x:c r="T13" s="41"/>
      <x:c r="U13" s="41"/>
      <x:c r="V13" s="41"/>
      <x:c r="W13" s="41"/>
      <x:c r="X13" s="41"/>
      <x:c r="Y13" s="41"/>
      <x:c r="Z13" s="41"/>
    </x:row>
    <x:row r="14">
      <x:c r="A14" s="43" t="str">
        <x:v>CTRL-MM-12-8</x:v>
      </x:c>
      <x:c r="B14" s="43" t="str">
        <x:v>TGH-P0-ESR</x:v>
      </x:c>
      <x:c r="C14" s="43" t="str">
        <x:v>MM.12.8</x:v>
      </x:c>
      <x:c r="D14" s="43" t="str">
        <x:v>MM.12</x:v>
      </x:c>
      <x:c r="E14" s="54" t="b">
        <x:v>0</x:v>
      </x:c>
      <x:c r="F14" s="43" t="str">
        <x:v>Vaccine refrigerator’s temperature is continuously recorded around the clock or an equivalent process is in place to monitor temperature around the clock.</x:v>
      </x:c>
      <x:c r="G14" s="43" t="str">
        <x:v>D,O</x:v>
      </x:c>
      <x:c r="H14" s="54" t="b">
        <x:v>1</x:v>
      </x:c>
      <x:c r="I14" s="43" t="n">
        <x:v>90</x:v>
      </x:c>
      <x:c r="J14" s="43" t="str">
        <x:v>MEOwner</x:v>
      </x:c>
      <x:c r="K14" s="44"/>
      <x:c r="L14" s="44" t="n">
        <x:v>46325.67291666667</x:v>
      </x:c>
      <x:c r="M14" s="43" t="str">
        <x:v>Active</x:v>
      </x:c>
      <x:c r="N14" s="41"/>
      <x:c r="O14" s="41"/>
      <x:c r="P14" s="41"/>
      <x:c r="Q14" s="41"/>
      <x:c r="R14" s="41"/>
      <x:c r="S14" s="41"/>
      <x:c r="T14" s="41"/>
      <x:c r="U14" s="41"/>
      <x:c r="V14" s="41"/>
      <x:c r="W14" s="41"/>
      <x:c r="X14" s="41"/>
      <x:c r="Y14" s="41"/>
      <x:c r="Z14" s="41"/>
    </x:row>
    <x:row r="15">
      <x:c r="A15" s="43" t="str">
        <x:v>CTRL-MM-12-10</x:v>
      </x:c>
      <x:c r="B15" s="43" t="str">
        <x:v>TGH-P0-ESR</x:v>
      </x:c>
      <x:c r="C15" s="43" t="str">
        <x:v>MM.12.10</x:v>
      </x:c>
      <x:c r="D15" s="43" t="str">
        <x:v>MM.12</x:v>
      </x:c>
      <x:c r="E15" s="54" t="b">
        <x:v>0</x:v>
      </x:c>
      <x:c r="F15" s="43" t="str">
        <x:v>There is a clear and defined mechanism to deal with electric power outage or out- ofrange temperature of the medication refrigerators and freezers to ensure the integrity of the affected medications before its reuse.</x:v>
      </x:c>
      <x:c r="G15" s="43" t="str">
        <x:v>I</x:v>
      </x:c>
      <x:c r="H15" s="54" t="b">
        <x:v>1</x:v>
      </x:c>
      <x:c r="I15" s="43" t="n">
        <x:v>90</x:v>
      </x:c>
      <x:c r="J15" s="43" t="str">
        <x:v>MEOwner</x:v>
      </x:c>
      <x:c r="K15" s="44"/>
      <x:c r="L15" s="44" t="n">
        <x:v>46325.67291666667</x:v>
      </x:c>
      <x:c r="M15" s="43" t="str">
        <x:v>Active</x:v>
      </x:c>
      <x:c r="N15" s="41"/>
      <x:c r="O15" s="41"/>
      <x:c r="P15" s="41"/>
      <x:c r="Q15" s="41"/>
      <x:c r="R15" s="41"/>
      <x:c r="S15" s="41"/>
      <x:c r="T15" s="41"/>
      <x:c r="U15" s="41"/>
      <x:c r="V15" s="41"/>
      <x:c r="W15" s="41"/>
      <x:c r="X15" s="41"/>
      <x:c r="Y15" s="41"/>
      <x:c r="Z15" s="41"/>
    </x:row>
    <x:row r="16">
      <x:c r="A16" s="43" t="str">
        <x:v>CTRL-MM-16-6</x:v>
      </x:c>
      <x:c r="B16" s="43" t="str">
        <x:v>TGH-P0-ESR</x:v>
      </x:c>
      <x:c r="C16" s="43" t="str">
        <x:v>MM.16.6</x:v>
      </x:c>
      <x:c r="D16" s="43" t="str">
        <x:v>MM.16</x:v>
      </x:c>
      <x:c r="E16" s="54" t="b">
        <x:v>0</x:v>
      </x:c>
      <x:c r="F16" s="43" t="str">
        <x:v>Concentrated electrolytes are not allowed in patient care areas (unless patient safety necessitates their immediate use). All necessary precautions and separate locked cabinet with proper signage are in place to prevent inadvertent administration of concentrated electrolytes.</x:v>
      </x:c>
      <x:c r="G16" s="43" t="str">
        <x:v>O</x:v>
      </x:c>
      <x:c r="H16" s="54" t="b">
        <x:v>1</x:v>
      </x:c>
      <x:c r="I16" s="43" t="n">
        <x:v>90</x:v>
      </x:c>
      <x:c r="J16" s="43" t="str">
        <x:v>MEOwner</x:v>
      </x:c>
      <x:c r="K16" s="44"/>
      <x:c r="L16" s="44" t="n">
        <x:v>46325.67291666667</x:v>
      </x:c>
      <x:c r="M16" s="43" t="str">
        <x:v>Active</x:v>
      </x:c>
      <x:c r="N16" s="41"/>
      <x:c r="O16" s="41"/>
      <x:c r="P16" s="41"/>
      <x:c r="Q16" s="41"/>
      <x:c r="R16" s="41"/>
      <x:c r="S16" s="41"/>
      <x:c r="T16" s="41"/>
      <x:c r="U16" s="41"/>
      <x:c r="V16" s="41"/>
      <x:c r="W16" s="41"/>
      <x:c r="X16" s="41"/>
      <x:c r="Y16" s="41"/>
      <x:c r="Z16" s="41"/>
    </x:row>
    <x:row r="17">
      <x:c r="A17" s="43" t="str">
        <x:v>CTRL-MM-18-4</x:v>
      </x:c>
      <x:c r="B17" s="43" t="str">
        <x:v>TGH-P0-ESR</x:v>
      </x:c>
      <x:c r="C17" s="43" t="str">
        <x:v>MM.18.4</x:v>
      </x:c>
      <x:c r="D17" s="43" t="str">
        <x:v>MM.18</x:v>
      </x:c>
      <x:c r="E17" s="54" t="b">
        <x:v>0</x:v>
      </x:c>
      <x:c r="F17" s="43" t="str">
        <x:v>The hospital maintains proper documentation of drug count, endorsement, and accountability.</x:v>
      </x:c>
      <x:c r="G17" s="43" t="str">
        <x:v>I,D</x:v>
      </x:c>
      <x:c r="H17" s="54" t="b">
        <x:v>1</x:v>
      </x:c>
      <x:c r="I17" s="43" t="n">
        <x:v>90</x:v>
      </x:c>
      <x:c r="J17" s="43" t="str">
        <x:v>MEOwner</x:v>
      </x:c>
      <x:c r="K17" s="44"/>
      <x:c r="L17" s="44" t="n">
        <x:v>46325.67291666667</x:v>
      </x:c>
      <x:c r="M17" s="43" t="str">
        <x:v>Active</x:v>
      </x:c>
      <x:c r="N17" s="41"/>
      <x:c r="O17" s="41"/>
      <x:c r="P17" s="41"/>
      <x:c r="Q17" s="41"/>
      <x:c r="R17" s="41"/>
      <x:c r="S17" s="41"/>
      <x:c r="T17" s="41"/>
      <x:c r="U17" s="41"/>
      <x:c r="V17" s="41"/>
      <x:c r="W17" s="41"/>
      <x:c r="X17" s="41"/>
      <x:c r="Y17" s="41"/>
      <x:c r="Z17" s="41"/>
    </x:row>
    <x:row r="18">
      <x:c r="A18" s="43" t="str">
        <x:v>CTRL-MM-18-5</x:v>
      </x:c>
      <x:c r="B18" s="43" t="str">
        <x:v>TGH-P0-ESR</x:v>
      </x:c>
      <x:c r="C18" s="43" t="str">
        <x:v>MM.18.5</x:v>
      </x:c>
      <x:c r="D18" s="43" t="str">
        <x:v>MM.18</x:v>
      </x:c>
      <x:c r="E18" s="54" t="b">
        <x:v>0</x:v>
      </x:c>
      <x:c r="F18" s="43" t="str">
        <x:v>The hospital maintains proper documentation of empty containers of narcotics and proper disposal of unused portions.</x:v>
      </x:c>
      <x:c r="G18" s="43" t="str">
        <x:v>I,D</x:v>
      </x:c>
      <x:c r="H18" s="54" t="b">
        <x:v>1</x:v>
      </x:c>
      <x:c r="I18" s="43" t="n">
        <x:v>90</x:v>
      </x:c>
      <x:c r="J18" s="43" t="str">
        <x:v>MEOwner</x:v>
      </x:c>
      <x:c r="K18" s="44"/>
      <x:c r="L18" s="44" t="n">
        <x:v>46325.67291666667</x:v>
      </x:c>
      <x:c r="M18" s="43" t="str">
        <x:v>Active</x:v>
      </x:c>
      <x:c r="N18" s="41"/>
      <x:c r="O18" s="41"/>
      <x:c r="P18" s="41"/>
      <x:c r="Q18" s="41"/>
      <x:c r="R18" s="41"/>
      <x:c r="S18" s="41"/>
      <x:c r="T18" s="41"/>
      <x:c r="U18" s="41"/>
      <x:c r="V18" s="41"/>
      <x:c r="W18" s="41"/>
      <x:c r="X18" s="41"/>
      <x:c r="Y18" s="41"/>
      <x:c r="Z18" s="41"/>
    </x:row>
    <x:row r="19">
      <x:c r="A19" s="43" t="str">
        <x:v>CTRL-MM-20-3</x:v>
      </x:c>
      <x:c r="B19" s="43" t="str">
        <x:v>TGH-P0-ESR</x:v>
      </x:c>
      <x:c r="C19" s="43" t="str">
        <x:v>MM.20.3</x:v>
      </x:c>
      <x:c r="D19" s="43" t="str">
        <x:v>MM.20</x:v>
      </x:c>
      <x:c r="E19" s="54" t="b">
        <x:v>0</x:v>
      </x:c>
      <x:c r="F19" s="43" t="str">
        <x:v>Medication reconciliation is conducted at the time of admission and discharge.</x:v>
      </x:c>
      <x:c r="G19" s="43" t="str">
        <x:v>OMR</x:v>
      </x:c>
      <x:c r="H19" s="54" t="b">
        <x:v>1</x:v>
      </x:c>
      <x:c r="I19" s="43" t="n">
        <x:v>90</x:v>
      </x:c>
      <x:c r="J19" s="43" t="str">
        <x:v>MEOwner</x:v>
      </x:c>
      <x:c r="K19" s="44"/>
      <x:c r="L19" s="44" t="n">
        <x:v>46325.67291666667</x:v>
      </x:c>
      <x:c r="M19" s="43" t="str">
        <x:v>Active</x:v>
      </x:c>
      <x:c r="N19" s="41"/>
      <x:c r="O19" s="41"/>
      <x:c r="P19" s="41"/>
      <x:c r="Q19" s="41"/>
      <x:c r="R19" s="41"/>
      <x:c r="S19" s="41"/>
      <x:c r="T19" s="41"/>
      <x:c r="U19" s="41"/>
      <x:c r="V19" s="41"/>
      <x:c r="W19" s="41"/>
      <x:c r="X19" s="41"/>
      <x:c r="Y19" s="41"/>
      <x:c r="Z19" s="41"/>
    </x:row>
    <x:row r="20">
      <x:c r="A20" s="43" t="str">
        <x:v>CTRL-MM-20-8</x:v>
      </x:c>
      <x:c r="B20" s="43" t="str">
        <x:v>TGH-P0-ESR</x:v>
      </x:c>
      <x:c r="C20" s="43" t="str">
        <x:v>MM.20.8</x:v>
      </x:c>
      <x:c r="D20" s="43" t="str">
        <x:v>MM.20</x:v>
      </x:c>
      <x:c r="E20" s="54" t="b">
        <x:v>0</x:v>
      </x:c>
      <x:c r="F20" s="43" t="str">
        <x:v>All medications are accurately transcribed into the medication administration record (MAR) after being verified against the original physician order or prescription.</x:v>
      </x:c>
      <x:c r="G20" s="43" t="str">
        <x:v>OMR</x:v>
      </x:c>
      <x:c r="H20" s="54" t="b">
        <x:v>1</x:v>
      </x:c>
      <x:c r="I20" s="43" t="n">
        <x:v>90</x:v>
      </x:c>
      <x:c r="J20" s="43" t="str">
        <x:v>MEOwner</x:v>
      </x:c>
      <x:c r="K20" s="44"/>
      <x:c r="L20" s="44" t="n">
        <x:v>46325.67291666667</x:v>
      </x:c>
      <x:c r="M20" s="43" t="str">
        <x:v>Active</x:v>
      </x:c>
      <x:c r="N20" s="41"/>
      <x:c r="O20" s="41"/>
      <x:c r="P20" s="41"/>
      <x:c r="Q20" s="41"/>
      <x:c r="R20" s="41"/>
      <x:c r="S20" s="41"/>
      <x:c r="T20" s="41"/>
      <x:c r="U20" s="41"/>
      <x:c r="V20" s="41"/>
      <x:c r="W20" s="41"/>
      <x:c r="X20" s="41"/>
      <x:c r="Y20" s="41"/>
      <x:c r="Z20" s="41"/>
    </x:row>
    <x:row r="21">
      <x:c r="A21" s="43" t="str">
        <x:v>CTRL-MM-23-3</x:v>
      </x:c>
      <x:c r="B21" s="43" t="str">
        <x:v>TGH-P0-ESR</x:v>
      </x:c>
      <x:c r="C21" s="43" t="str">
        <x:v>MM.23.3</x:v>
      </x:c>
      <x:c r="D21" s="43" t="str">
        <x:v>MM.23</x:v>
      </x:c>
      <x:c r="E21" s="54" t="b">
        <x:v>0</x:v>
      </x:c>
      <x:c r="F21" s="43" t="str">
        <x:v>Verbal and telephone orders are limited to emergent and urgent situation where immediate written or electronic medication order is not feasible. lear definition of emergent and urgent situations should be included.</x:v>
      </x:c>
      <x:c r="G21" s="43" t="str">
        <x:v>OMR</x:v>
      </x:c>
      <x:c r="H21" s="54" t="b">
        <x:v>1</x:v>
      </x:c>
      <x:c r="I21" s="43" t="n">
        <x:v>90</x:v>
      </x:c>
      <x:c r="J21" s="43" t="str">
        <x:v>MEOwner</x:v>
      </x:c>
      <x:c r="K21" s="44"/>
      <x:c r="L21" s="44" t="n">
        <x:v>46325.67291666667</x:v>
      </x:c>
      <x:c r="M21" s="43" t="str">
        <x:v>Active</x:v>
      </x:c>
      <x:c r="N21" s="41"/>
      <x:c r="O21" s="41"/>
      <x:c r="P21" s="41"/>
      <x:c r="Q21" s="41"/>
      <x:c r="R21" s="41"/>
      <x:c r="S21" s="41"/>
      <x:c r="T21" s="41"/>
      <x:c r="U21" s="41"/>
      <x:c r="V21" s="41"/>
      <x:c r="W21" s="41"/>
      <x:c r="X21" s="41"/>
      <x:c r="Y21" s="41"/>
      <x:c r="Z21" s="41"/>
    </x:row>
    <x:row r="22">
      <x:c r="A22" s="43" t="str">
        <x:v>CTRL-MM-23-4</x:v>
      </x:c>
      <x:c r="B22" s="43" t="str">
        <x:v>TGH-P0-ESR</x:v>
      </x:c>
      <x:c r="C22" s="43" t="str">
        <x:v>MM.23.4</x:v>
      </x:c>
      <x:c r="D22" s="43" t="str">
        <x:v>MM.23</x:v>
      </x:c>
      <x:c r="E22" s="54" t="b">
        <x:v>0</x:v>
      </x:c>
      <x:c r="F22" s="43" t="str">
        <x:v>Time frame for , authentication of verbal (as soon as the emergency is over) and telephone orders (within twenty four hours) is clearly stated and implemented.</x:v>
      </x:c>
      <x:c r="G22" s="43" t="str">
        <x:v>OMR</x:v>
      </x:c>
      <x:c r="H22" s="54" t="b">
        <x:v>1</x:v>
      </x:c>
      <x:c r="I22" s="43" t="n">
        <x:v>90</x:v>
      </x:c>
      <x:c r="J22" s="43" t="str">
        <x:v>MEOwner</x:v>
      </x:c>
      <x:c r="K22" s="44"/>
      <x:c r="L22" s="44" t="n">
        <x:v>46325.67291666667</x:v>
      </x:c>
      <x:c r="M22" s="43" t="str">
        <x:v>Active</x:v>
      </x:c>
      <x:c r="N22" s="41"/>
      <x:c r="O22" s="41"/>
      <x:c r="P22" s="41"/>
      <x:c r="Q22" s="41"/>
      <x:c r="R22" s="41"/>
      <x:c r="S22" s="41"/>
      <x:c r="T22" s="41"/>
      <x:c r="U22" s="41"/>
      <x:c r="V22" s="41"/>
      <x:c r="W22" s="41"/>
      <x:c r="X22" s="41"/>
      <x:c r="Y22" s="41"/>
      <x:c r="Z22" s="41"/>
    </x:row>
    <x:row r="23">
      <x:c r="A23" s="43" t="str">
        <x:v>CTRL-MM-25-2</x:v>
      </x:c>
      <x:c r="B23" s="43" t="str">
        <x:v>TGH-P0-ESR</x:v>
      </x:c>
      <x:c r="C23" s="43" t="str">
        <x:v>MM.25.2</x:v>
      </x:c>
      <x:c r="D23" s="43" t="str">
        <x:v>MM.25</x:v>
      </x:c>
      <x:c r="E23" s="54" t="b">
        <x:v>0</x:v>
      </x:c>
      <x:c r="F23" s="43" t="str">
        <x:v>A trained pharmacist reviews all medication orders or prescriptions before dispensing (except in emergencies, life saving situations, or diagnostic imaging where the prescriber is physically present).</x:v>
      </x:c>
      <x:c r="G23" s="43" t="str">
        <x:v>O</x:v>
      </x:c>
      <x:c r="H23" s="54" t="b">
        <x:v>1</x:v>
      </x:c>
      <x:c r="I23" s="43" t="n">
        <x:v>90</x:v>
      </x:c>
      <x:c r="J23" s="43" t="str">
        <x:v>MEOwner</x:v>
      </x:c>
      <x:c r="K23" s="44"/>
      <x:c r="L23" s="44" t="n">
        <x:v>46325.67291666667</x:v>
      </x:c>
      <x:c r="M23" s="43" t="str">
        <x:v>Active</x:v>
      </x:c>
      <x:c r="N23" s="41"/>
      <x:c r="O23" s="41"/>
      <x:c r="P23" s="41"/>
      <x:c r="Q23" s="41"/>
      <x:c r="R23" s="41"/>
      <x:c r="S23" s="41"/>
      <x:c r="T23" s="41"/>
      <x:c r="U23" s="41"/>
      <x:c r="V23" s="41"/>
      <x:c r="W23" s="41"/>
      <x:c r="X23" s="41"/>
      <x:c r="Y23" s="41"/>
      <x:c r="Z23" s="41"/>
    </x:row>
    <x:row r="24">
      <x:c r="A24" s="43" t="str">
        <x:v>CTRL-MM-25-3</x:v>
      </x:c>
      <x:c r="B24" s="43" t="str">
        <x:v>TGH-P0-ESR</x:v>
      </x:c>
      <x:c r="C24" s="43" t="str">
        <x:v>MM.25.3</x:v>
      </x:c>
      <x:c r="D24" s="43" t="str">
        <x:v>MM.25</x:v>
      </x:c>
      <x:c r="E24" s="54" t="b">
        <x:v>0</x:v>
      </x:c>
      <x:c r="F24" s="43" t="str">
        <x:v>All medication orders are reviewed for: MM.25.3.1 Patient’s allergies or sensitivities. MM.25.3.2 Approved indications for use. MM.25.3.3 Therapeutic duplications. MM.25.3.4 Existing or potential interactions (drug-drug and drug-food interactions). MM.25.3.5 Appropriateness of the medication dose, frequency, and route of administration. MM.25.3.6 Contraindications.</x:v>
      </x:c>
      <x:c r="G24" s="43" t="str">
        <x:v>I</x:v>
      </x:c>
      <x:c r="H24" s="54" t="b">
        <x:v>1</x:v>
      </x:c>
      <x:c r="I24" s="43" t="n">
        <x:v>90</x:v>
      </x:c>
      <x:c r="J24" s="43" t="str">
        <x:v>MEOwner</x:v>
      </x:c>
      <x:c r="K24" s="44"/>
      <x:c r="L24" s="44" t="n">
        <x:v>46325.67291666667</x:v>
      </x:c>
      <x:c r="M24" s="43" t="str">
        <x:v>Active</x:v>
      </x:c>
      <x:c r="N24" s="41"/>
      <x:c r="O24" s="41"/>
      <x:c r="P24" s="41"/>
      <x:c r="Q24" s="41"/>
      <x:c r="R24" s="41"/>
      <x:c r="S24" s="41"/>
      <x:c r="T24" s="41"/>
      <x:c r="U24" s="41"/>
      <x:c r="V24" s="41"/>
      <x:c r="W24" s="41"/>
      <x:c r="X24" s="41"/>
      <x:c r="Y24" s="41"/>
      <x:c r="Z24" s="41"/>
    </x:row>
    <x:row r="25">
      <x:c r="A25" s="43" t="str">
        <x:v>CTRL-MM-25-4</x:v>
      </x:c>
      <x:c r="B25" s="43" t="str">
        <x:v>TGH-P0-ESR</x:v>
      </x:c>
      <x:c r="C25" s="43" t="str">
        <x:v>MM.25.4</x:v>
      </x:c>
      <x:c r="D25" s="43" t="str">
        <x:v>MM.25</x:v>
      </x:c>
      <x:c r="E25" s="54" t="b">
        <x:v>0</x:v>
      </x:c>
      <x:c r="F25" s="43" t="str">
        <x:v>All issues, concerns, or questions regarding medication order or prescription are clarified with the prescriber and documented before medication dispensing.</x:v>
      </x:c>
      <x:c r="G25" s="43" t="str">
        <x:v>I</x:v>
      </x:c>
      <x:c r="H25" s="54" t="b">
        <x:v>1</x:v>
      </x:c>
      <x:c r="I25" s="43" t="n">
        <x:v>90</x:v>
      </x:c>
      <x:c r="J25" s="43" t="str">
        <x:v>MEOwner</x:v>
      </x:c>
      <x:c r="K25" s="44"/>
      <x:c r="L25" s="44" t="n">
        <x:v>46325.67291666667</x:v>
      </x:c>
      <x:c r="M25" s="43" t="str">
        <x:v>Active</x:v>
      </x:c>
      <x:c r="N25" s="41"/>
      <x:c r="O25" s="41"/>
      <x:c r="P25" s="41"/>
      <x:c r="Q25" s="41"/>
      <x:c r="R25" s="41"/>
      <x:c r="S25" s="41"/>
      <x:c r="T25" s="41"/>
      <x:c r="U25" s="41"/>
      <x:c r="V25" s="41"/>
      <x:c r="W25" s="41"/>
      <x:c r="X25" s="41"/>
      <x:c r="Y25" s="41"/>
      <x:c r="Z25" s="41"/>
    </x:row>
    <x:row r="26">
      <x:c r="A26" s="43" t="str">
        <x:v>CTRL-MM-31-7</x:v>
      </x:c>
      <x:c r="B26" s="43" t="str">
        <x:v>TGH-P0-ESR</x:v>
      </x:c>
      <x:c r="C26" s="43" t="str">
        <x:v>MM.31.7</x:v>
      </x:c>
      <x:c r="D26" s="43" t="str">
        <x:v>MM.31</x:v>
      </x:c>
      <x:c r="E26" s="54" t="b">
        <x:v>0</x:v>
      </x:c>
      <x:c r="F26" s="43" t="str">
        <x:v>There is implementation of the independent double check during preparation and before dispensing of all high-alert medications.</x:v>
      </x:c>
      <x:c r="G26" s="43" t="str">
        <x:v>O,I</x:v>
      </x:c>
      <x:c r="H26" s="54" t="b">
        <x:v>1</x:v>
      </x:c>
      <x:c r="I26" s="43" t="n">
        <x:v>90</x:v>
      </x:c>
      <x:c r="J26" s="43" t="str">
        <x:v>MEOwner</x:v>
      </x:c>
      <x:c r="K26" s="44"/>
      <x:c r="L26" s="44" t="n">
        <x:v>46325.67291666667</x:v>
      </x:c>
      <x:c r="M26" s="43" t="str">
        <x:v>Active</x:v>
      </x:c>
      <x:c r="N26" s="41"/>
      <x:c r="O26" s="41"/>
      <x:c r="P26" s="41"/>
      <x:c r="Q26" s="41"/>
      <x:c r="R26" s="41"/>
      <x:c r="S26" s="41"/>
      <x:c r="T26" s="41"/>
      <x:c r="U26" s="41"/>
      <x:c r="V26" s="41"/>
      <x:c r="W26" s="41"/>
      <x:c r="X26" s="41"/>
      <x:c r="Y26" s="41"/>
      <x:c r="Z26" s="41"/>
    </x:row>
    <x:row r="27">
      <x:c r="A27" s="43" t="str">
        <x:v>CTRL-MM-32-4</x:v>
      </x:c>
      <x:c r="B27" s="43" t="str">
        <x:v>TGH-P0-ESR</x:v>
      </x:c>
      <x:c r="C27" s="43" t="str">
        <x:v>MM.32.4</x:v>
      </x:c>
      <x:c r="D27" s="43" t="str">
        <x:v>MM.32</x:v>
      </x:c>
      <x:c r="E27" s="54" t="b">
        <x:v>0</x:v>
      </x:c>
      <x:c r="F27" s="43" t="str">
        <x:v>All individualized medications prepared for multiple patients are labeled with: MM.32.4.1 Patient name and medical record number. MM.32.4.2 Patient location (ward, unit, room, bed number). MM.32.4.3 Medication name, dosage form, strength, and amount. MM.32.4.4 Directions for use. MM.32.4.5 Relevant cautionary instructions (e.g., refrigerate, shake before use, may cause drowsiness). MM.32.4.6 Date of preparation, beyond use date, and time (when beyond use date occurs in less than twenty four hours).</x:v>
      </x:c>
      <x:c r="G27" s="43" t="str">
        <x:v>O</x:v>
      </x:c>
      <x:c r="H27" s="54" t="b">
        <x:v>1</x:v>
      </x:c>
      <x:c r="I27" s="43" t="n">
        <x:v>90</x:v>
      </x:c>
      <x:c r="J27" s="43" t="str">
        <x:v>MEOwner</x:v>
      </x:c>
      <x:c r="K27" s="44"/>
      <x:c r="L27" s="44" t="n">
        <x:v>46325.67291666667</x:v>
      </x:c>
      <x:c r="M27" s="43" t="str">
        <x:v>Active</x:v>
      </x:c>
      <x:c r="N27" s="41"/>
      <x:c r="O27" s="41"/>
      <x:c r="P27" s="41"/>
      <x:c r="Q27" s="41"/>
      <x:c r="R27" s="41"/>
      <x:c r="S27" s="41"/>
      <x:c r="T27" s="41"/>
      <x:c r="U27" s="41"/>
      <x:c r="V27" s="41"/>
      <x:c r="W27" s="41"/>
      <x:c r="X27" s="41"/>
      <x:c r="Y27" s="41"/>
      <x:c r="Z27" s="41"/>
    </x:row>
    <x:row r="28">
      <x:c r="A28" s="43" t="str">
        <x:v>CTRL-MM-33-2</x:v>
      </x:c>
      <x:c r="B28" s="43" t="str">
        <x:v>TGH-P0-ESR</x:v>
      </x:c>
      <x:c r="C28" s="43" t="str">
        <x:v>MM.33.2</x:v>
      </x:c>
      <x:c r="D28" s="43" t="str">
        <x:v>MM.33</x:v>
      </x:c>
      <x:c r="E28" s="54" t="b">
        <x:v>0</x:v>
      </x:c>
      <x:c r="F28" s="43" t="str">
        <x:v>The hospital permits only trained registered nurses and those authorized to prescribe medications to access pharmacy after working hours.</x:v>
      </x:c>
      <x:c r="G28" s="43" t="str">
        <x:v>I</x:v>
      </x:c>
      <x:c r="H28" s="54" t="b">
        <x:v>1</x:v>
      </x:c>
      <x:c r="I28" s="43" t="n">
        <x:v>90</x:v>
      </x:c>
      <x:c r="J28" s="43" t="str">
        <x:v>MEOwner</x:v>
      </x:c>
      <x:c r="K28" s="44"/>
      <x:c r="L28" s="44" t="n">
        <x:v>46325.67291666667</x:v>
      </x:c>
      <x:c r="M28" s="43" t="str">
        <x:v>Active</x:v>
      </x:c>
      <x:c r="N28" s="41"/>
      <x:c r="O28" s="41"/>
      <x:c r="P28" s="41"/>
      <x:c r="Q28" s="41"/>
      <x:c r="R28" s="41"/>
      <x:c r="S28" s="41"/>
      <x:c r="T28" s="41"/>
      <x:c r="U28" s="41"/>
      <x:c r="V28" s="41"/>
      <x:c r="W28" s="41"/>
      <x:c r="X28" s="41"/>
      <x:c r="Y28" s="41"/>
      <x:c r="Z28" s="41"/>
    </x:row>
    <x:row r="29">
      <x:c r="A29" s="43" t="str">
        <x:v>CTRL-MM-36-2</x:v>
      </x:c>
      <x:c r="B29" s="43" t="str">
        <x:v>TGH-P0-ESR</x:v>
      </x:c>
      <x:c r="C29" s="43" t="str">
        <x:v>MM.36.2</x:v>
      </x:c>
      <x:c r="D29" s="43" t="str">
        <x:v>MM.36</x:v>
      </x:c>
      <x:c r="E29" s="54" t="b">
        <x:v>0</x:v>
      </x:c>
      <x:c r="F29" s="43" t="str">
        <x:v>Qualifications, experiences, and competency assessments of individuals involved in drug administration are available in their personnel files.</x:v>
      </x:c>
      <x:c r="G29" s="43" t="str">
        <x:v>PF</x:v>
      </x:c>
      <x:c r="H29" s="54" t="b">
        <x:v>1</x:v>
      </x:c>
      <x:c r="I29" s="43" t="n">
        <x:v>90</x:v>
      </x:c>
      <x:c r="J29" s="43" t="str">
        <x:v>MEOwner</x:v>
      </x:c>
      <x:c r="K29" s="44"/>
      <x:c r="L29" s="44" t="n">
        <x:v>46325.67291666667</x:v>
      </x:c>
      <x:c r="M29" s="43" t="str">
        <x:v>Active</x:v>
      </x:c>
      <x:c r="N29" s="41"/>
      <x:c r="O29" s="41"/>
      <x:c r="P29" s="41"/>
      <x:c r="Q29" s="41"/>
      <x:c r="R29" s="41"/>
      <x:c r="S29" s="41"/>
      <x:c r="T29" s="41"/>
      <x:c r="U29" s="41"/>
      <x:c r="V29" s="41"/>
      <x:c r="W29" s="41"/>
      <x:c r="X29" s="41"/>
      <x:c r="Y29" s="41"/>
      <x:c r="Z29" s="41"/>
    </x:row>
    <x:row r="30">
      <x:c r="A30" s="43" t="str">
        <x:v>CTRL-MM-36-3</x:v>
      </x:c>
      <x:c r="B30" s="43" t="str">
        <x:v>TGH-P0-ESR</x:v>
      </x:c>
      <x:c r="C30" s="43" t="str">
        <x:v>MM.36.3</x:v>
      </x:c>
      <x:c r="D30" s="43" t="str">
        <x:v>MM.36</x:v>
      </x:c>
      <x:c r="E30" s="54" t="b">
        <x:v>0</x:v>
      </x:c>
      <x:c r="F30" s="43" t="str">
        <x:v>The hospital guidelines for safe administration of intravenous push medications are available, disseminated and implemented in all patient care units. The guidelines include medication name, infusion time, nurse qualification and patient care unit.</x:v>
      </x:c>
      <x:c r="G30" s="43" t="str">
        <x:v>I,PH,THC</x:v>
      </x:c>
      <x:c r="H30" s="54" t="b">
        <x:v>1</x:v>
      </x:c>
      <x:c r="I30" s="43" t="n">
        <x:v>90</x:v>
      </x:c>
      <x:c r="J30" s="43" t="str">
        <x:v>MEOwner</x:v>
      </x:c>
      <x:c r="K30" s="44"/>
      <x:c r="L30" s="44" t="n">
        <x:v>46325.67291666667</x:v>
      </x:c>
      <x:c r="M30" s="43" t="str">
        <x:v>Active</x:v>
      </x:c>
      <x:c r="N30" s="41"/>
      <x:c r="O30" s="41"/>
      <x:c r="P30" s="41"/>
      <x:c r="Q30" s="41"/>
      <x:c r="R30" s="41"/>
      <x:c r="S30" s="41"/>
      <x:c r="T30" s="41"/>
      <x:c r="U30" s="41"/>
      <x:c r="V30" s="41"/>
      <x:c r="W30" s="41"/>
      <x:c r="X30" s="41"/>
      <x:c r="Y30" s="41"/>
      <x:c r="Z30" s="41"/>
    </x:row>
    <x:row r="31">
      <x:c r="A31" s="43" t="str">
        <x:v>CTRL-MM-36-5</x:v>
      </x:c>
      <x:c r="B31" s="43" t="str">
        <x:v>TGH-P0-ESR</x:v>
      </x:c>
      <x:c r="C31" s="43" t="str">
        <x:v>MM.36.5</x:v>
      </x:c>
      <x:c r="D31" s="43" t="str">
        <x:v>MM.36</x:v>
      </x:c>
      <x:c r="E31" s="54" t="b">
        <x:v>0</x:v>
      </x:c>
      <x:c r="F31" s="43" t="str">
        <x:v>The hospital maintains accurate records of the disposal of the unused portion of narcotic drugs and controlled substances.</x:v>
      </x:c>
      <x:c r="G31" s="43" t="str">
        <x:v>D</x:v>
      </x:c>
      <x:c r="H31" s="54" t="b">
        <x:v>1</x:v>
      </x:c>
      <x:c r="I31" s="43" t="n">
        <x:v>90</x:v>
      </x:c>
      <x:c r="J31" s="43" t="str">
        <x:v>MEOwner</x:v>
      </x:c>
      <x:c r="K31" s="44"/>
      <x:c r="L31" s="44" t="n">
        <x:v>46325.67291666667</x:v>
      </x:c>
      <x:c r="M31" s="43" t="str">
        <x:v>Active</x:v>
      </x:c>
      <x:c r="N31" s="41"/>
      <x:c r="O31" s="41"/>
      <x:c r="P31" s="41"/>
      <x:c r="Q31" s="41"/>
      <x:c r="R31" s="41"/>
      <x:c r="S31" s="41"/>
      <x:c r="T31" s="41"/>
      <x:c r="U31" s="41"/>
      <x:c r="V31" s="41"/>
      <x:c r="W31" s="41"/>
      <x:c r="X31" s="41"/>
      <x:c r="Y31" s="41"/>
      <x:c r="Z31" s="41"/>
    </x:row>
    <x:row r="32">
      <x:c r="A32" s="43" t="str">
        <x:v>CTRL-MM-36-7</x:v>
      </x:c>
      <x:c r="B32" s="43" t="str">
        <x:v>TGH-P0-ESR</x:v>
      </x:c>
      <x:c r="C32" s="43" t="str">
        <x:v>MM.36.7</x:v>
      </x:c>
      <x:c r="D32" s="43" t="str">
        <x:v>MM.36</x:v>
      </x:c>
      <x:c r="E32" s="54" t="b">
        <x:v>0</x:v>
      </x:c>
      <x:c r="F32" s="43" t="str">
        <x:v>Independent double check of all high alert medications is performed.</x:v>
      </x:c>
      <x:c r="G32" s="43" t="str">
        <x:v>I,OMR</x:v>
      </x:c>
      <x:c r="H32" s="54" t="b">
        <x:v>1</x:v>
      </x:c>
      <x:c r="I32" s="43" t="n">
        <x:v>90</x:v>
      </x:c>
      <x:c r="J32" s="43" t="str">
        <x:v>MEOwner</x:v>
      </x:c>
      <x:c r="K32" s="44"/>
      <x:c r="L32" s="44" t="n">
        <x:v>46325.67291666667</x:v>
      </x:c>
      <x:c r="M32" s="43" t="str">
        <x:v>Active</x:v>
      </x:c>
      <x:c r="N32" s="41"/>
      <x:c r="O32" s="41"/>
      <x:c r="P32" s="41"/>
      <x:c r="Q32" s="41"/>
      <x:c r="R32" s="41"/>
      <x:c r="S32" s="41"/>
      <x:c r="T32" s="41"/>
      <x:c r="U32" s="41"/>
      <x:c r="V32" s="41"/>
      <x:c r="W32" s="41"/>
      <x:c r="X32" s="41"/>
      <x:c r="Y32" s="41"/>
      <x:c r="Z32" s="41"/>
    </x:row>
    <x:row r="33">
      <x:c r="A33" s="43" t="str">
        <x:v>CTRL-MM-36-8</x:v>
      </x:c>
      <x:c r="B33" s="43" t="str">
        <x:v>TGH-P0-ESR</x:v>
      </x:c>
      <x:c r="C33" s="43" t="str">
        <x:v>MM.36.8</x:v>
      </x:c>
      <x:c r="D33" s="43" t="str">
        <x:v>MM.36</x:v>
      </x:c>
      <x:c r="E33" s="54" t="b">
        <x:v>0</x:v>
      </x:c>
      <x:c r="F33" s="43" t="str">
        <x:v>The hospital adopts safe administration and disposal of chemotherapy.</x:v>
      </x:c>
      <x:c r="G33" s="43" t="str">
        <x:v>O,I</x:v>
      </x:c>
      <x:c r="H33" s="54" t="b">
        <x:v>1</x:v>
      </x:c>
      <x:c r="I33" s="43" t="n">
        <x:v>90</x:v>
      </x:c>
      <x:c r="J33" s="43" t="str">
        <x:v>MEOwner</x:v>
      </x:c>
      <x:c r="K33" s="44"/>
      <x:c r="L33" s="44" t="n">
        <x:v>46325.67291666667</x:v>
      </x:c>
      <x:c r="M33" s="43" t="str">
        <x:v>Active</x:v>
      </x:c>
      <x:c r="N33" s="41"/>
      <x:c r="O33" s="41"/>
      <x:c r="P33" s="41"/>
      <x:c r="Q33" s="41"/>
      <x:c r="R33" s="41"/>
      <x:c r="S33" s="41"/>
      <x:c r="T33" s="41"/>
      <x:c r="U33" s="41"/>
      <x:c r="V33" s="41"/>
      <x:c r="W33" s="41"/>
      <x:c r="X33" s="41"/>
      <x:c r="Y33" s="41"/>
      <x:c r="Z33" s="41"/>
    </x:row>
    <x:row r="34">
      <x:c r="A34" s="43" t="str">
        <x:v>CTRL-MM-37-1</x:v>
      </x:c>
      <x:c r="B34" s="43" t="str">
        <x:v>TGH-P0-ESR</x:v>
      </x:c>
      <x:c r="C34" s="43" t="str">
        <x:v>MM.37.1</x:v>
      </x:c>
      <x:c r="D34" s="43" t="str">
        <x:v>MM.37</x:v>
      </x:c>
      <x:c r="E34" s="54" t="b">
        <x:v>0</x:v>
      </x:c>
      <x:c r="F34" s="43" t="str">
        <x:v>The hospital implements a multidisciplinary policy and procedure on proper verification of dispensed medications before administration (right patient, right medicine, right dose, right frequency, right route, and right time).</x:v>
      </x:c>
      <x:c r="G34" s="43" t="str">
        <x:v>D,I</x:v>
      </x:c>
      <x:c r="H34" s="54" t="b">
        <x:v>1</x:v>
      </x:c>
      <x:c r="I34" s="43" t="n">
        <x:v>90</x:v>
      </x:c>
      <x:c r="J34" s="43" t="str">
        <x:v>MEOwner</x:v>
      </x:c>
      <x:c r="K34" s="44"/>
      <x:c r="L34" s="44" t="n">
        <x:v>46325.67291666667</x:v>
      </x:c>
      <x:c r="M34" s="43" t="str">
        <x:v>Active</x:v>
      </x:c>
      <x:c r="N34" s="41"/>
      <x:c r="O34" s="41"/>
      <x:c r="P34" s="41"/>
      <x:c r="Q34" s="41"/>
      <x:c r="R34" s="41"/>
      <x:c r="S34" s="41"/>
      <x:c r="T34" s="41"/>
      <x:c r="U34" s="41"/>
      <x:c r="V34" s="41"/>
      <x:c r="W34" s="41"/>
      <x:c r="X34" s="41"/>
      <x:c r="Y34" s="41"/>
      <x:c r="Z34" s="41"/>
    </x:row>
    <x:row r="35">
      <x:c r="A35" s="43" t="str">
        <x:v>CTRL-MM-37-2</x:v>
      </x:c>
      <x:c r="B35" s="43" t="str">
        <x:v>TGH-P0-ESR</x:v>
      </x:c>
      <x:c r="C35" s="43" t="str">
        <x:v>MM.37.2</x:v>
      </x:c>
      <x:c r="D35" s="43" t="str">
        <x:v>MM.37</x:v>
      </x:c>
      <x:c r="E35" s="54" t="b">
        <x:v>0</x:v>
      </x:c>
      <x:c r="F35" s="43" t="str">
        <x:v>Medications are verified against the medication administration record (MAR) before administration</x:v>
      </x:c>
      <x:c r="G35" s="43" t="str">
        <x:v>I,OMR</x:v>
      </x:c>
      <x:c r="H35" s="54" t="b">
        <x:v>1</x:v>
      </x:c>
      <x:c r="I35" s="43" t="n">
        <x:v>90</x:v>
      </x:c>
      <x:c r="J35" s="43" t="str">
        <x:v>MEOwner</x:v>
      </x:c>
      <x:c r="K35" s="44"/>
      <x:c r="L35" s="44" t="n">
        <x:v>46325.67291666667</x:v>
      </x:c>
      <x:c r="M35" s="43" t="str">
        <x:v>Active</x:v>
      </x:c>
      <x:c r="N35" s="41"/>
      <x:c r="O35" s="41"/>
      <x:c r="P35" s="41"/>
      <x:c r="Q35" s="41"/>
      <x:c r="R35" s="41"/>
      <x:c r="S35" s="41"/>
      <x:c r="T35" s="41"/>
      <x:c r="U35" s="41"/>
      <x:c r="V35" s="41"/>
      <x:c r="W35" s="41"/>
      <x:c r="X35" s="41"/>
      <x:c r="Y35" s="41"/>
      <x:c r="Z35" s="41"/>
    </x:row>
    <x:row r="36">
      <x:c r="A36" s="43" t="str">
        <x:v>CTRL-MM-37-7</x:v>
      </x:c>
      <x:c r="B36" s="43" t="str">
        <x:v>TGH-P0-ESR</x:v>
      </x:c>
      <x:c r="C36" s="43" t="str">
        <x:v>MM.37.7</x:v>
      </x:c>
      <x:c r="D36" s="43" t="str">
        <x:v>MM.37</x:v>
      </x:c>
      <x:c r="E36" s="54" t="b">
        <x:v>0</x:v>
      </x:c>
      <x:c r="F36" s="43" t="str">
        <x:v>Medications are administered after verifying that there are no contraindications.</x:v>
      </x:c>
      <x:c r="G36" s="43" t="str">
        <x:v>I</x:v>
      </x:c>
      <x:c r="H36" s="54" t="b">
        <x:v>1</x:v>
      </x:c>
      <x:c r="I36" s="43" t="n">
        <x:v>90</x:v>
      </x:c>
      <x:c r="J36" s="43" t="str">
        <x:v>MEOwner</x:v>
      </x:c>
      <x:c r="K36" s="44"/>
      <x:c r="L36" s="44" t="n">
        <x:v>46325.67291666667</x:v>
      </x:c>
      <x:c r="M36" s="43" t="str">
        <x:v>Active</x:v>
      </x:c>
      <x:c r="N36" s="41"/>
      <x:c r="O36" s="41"/>
      <x:c r="P36" s="41"/>
      <x:c r="Q36" s="41"/>
      <x:c r="R36" s="41"/>
      <x:c r="S36" s="41"/>
      <x:c r="T36" s="41"/>
      <x:c r="U36" s="41"/>
      <x:c r="V36" s="41"/>
      <x:c r="W36" s="41"/>
      <x:c r="X36" s="41"/>
      <x:c r="Y36" s="41"/>
      <x:c r="Z36" s="41"/>
    </x:row>
    <x:row r="37">
      <x:c r="A37" s="43" t="str">
        <x:v>CTRL-MM-38-2</x:v>
      </x:c>
      <x:c r="B37" s="43" t="str">
        <x:v>TGH-P0-ESR</x:v>
      </x:c>
      <x:c r="C37" s="43" t="str">
        <x:v>MM.38.2</x:v>
      </x:c>
      <x:c r="D37" s="43" t="str">
        <x:v>MM.38</x:v>
      </x:c>
      <x:c r="E37" s="54" t="b">
        <x:v>0</x:v>
      </x:c>
      <x:c r="F37" s="43" t="str">
        <x:v>The hospital does not allow administration of any medication brought from outside the hospital unless prescribed by the treating physician.</x:v>
      </x:c>
      <x:c r="G37" s="43" t="str">
        <x:v>O,I</x:v>
      </x:c>
      <x:c r="H37" s="54" t="b">
        <x:v>1</x:v>
      </x:c>
      <x:c r="I37" s="43" t="n">
        <x:v>90</x:v>
      </x:c>
      <x:c r="J37" s="43" t="str">
        <x:v>MEOwner</x:v>
      </x:c>
      <x:c r="K37" s="44"/>
      <x:c r="L37" s="44" t="n">
        <x:v>46325.67291666667</x:v>
      </x:c>
      <x:c r="M37" s="43" t="str">
        <x:v>Active</x:v>
      </x:c>
      <x:c r="N37" s="41"/>
      <x:c r="O37" s="41"/>
      <x:c r="P37" s="41"/>
      <x:c r="Q37" s="41"/>
      <x:c r="R37" s="41"/>
      <x:c r="S37" s="41"/>
      <x:c r="T37" s="41"/>
      <x:c r="U37" s="41"/>
      <x:c r="V37" s="41"/>
      <x:c r="W37" s="41"/>
      <x:c r="X37" s="41"/>
      <x:c r="Y37" s="41"/>
      <x:c r="Z37" s="41"/>
    </x:row>
    <x:row r="38">
      <x:c r="A38" s="43" t="str">
        <x:v>CTRL-MM-39-4</x:v>
      </x:c>
      <x:c r="B38" s="43" t="str">
        <x:v>TGH-P0-ESR</x:v>
      </x:c>
      <x:c r="C38" s="43" t="str">
        <x:v>MM.39.4</x:v>
      </x:c>
      <x:c r="D38" s="43" t="str">
        <x:v>MM.39</x:v>
      </x:c>
      <x:c r="E38" s="54" t="b">
        <x:v>0</x:v>
      </x:c>
      <x:c r="F38" s="43" t="str">
        <x:v>Monitoring includes the following: MM.39.4.1 The medication’s effect on patient’s clinical condition, as well as blood count, liver and renal functions and other relevant therapeutic monitoring parameters... MM.39.4.2 The patient’s perception of side effects to the first dose of a new medication MM.39.4.3 Unanticipated drug-drug interactions MM.39.4.4 Changes in the patient’s equilibrium that may raise the risk of falls MM.39.4.5 Allergic reactions including documentation and flagging of medical records.</x:v>
      </x:c>
      <x:c r="G38" s="43" t="str">
        <x:v>OMR,PH,THC</x:v>
      </x:c>
      <x:c r="H38" s="54" t="b">
        <x:v>1</x:v>
      </x:c>
      <x:c r="I38" s="43" t="n">
        <x:v>90</x:v>
      </x:c>
      <x:c r="J38" s="43" t="str">
        <x:v>MEOwner</x:v>
      </x:c>
      <x:c r="K38" s="44"/>
      <x:c r="L38" s="44" t="n">
        <x:v>46325.67291666667</x:v>
      </x:c>
      <x:c r="M38" s="43" t="str">
        <x:v>Active</x:v>
      </x:c>
      <x:c r="N38" s="41"/>
      <x:c r="O38" s="41"/>
      <x:c r="P38" s="41"/>
      <x:c r="Q38" s="41"/>
      <x:c r="R38" s="41"/>
      <x:c r="S38" s="41"/>
      <x:c r="T38" s="41"/>
      <x:c r="U38" s="41"/>
      <x:c r="V38" s="41"/>
      <x:c r="W38" s="41"/>
      <x:c r="X38" s="41"/>
      <x:c r="Y38" s="41"/>
      <x:c r="Z38" s="41"/>
    </x:row>
    <x:row r="39">
      <x:c r="A39" s="43" t="str">
        <x:v>CTRL-MM-40-4</x:v>
      </x:c>
      <x:c r="B39" s="43" t="str">
        <x:v>TGH-P0-ESR</x:v>
      </x:c>
      <x:c r="C39" s="43" t="str">
        <x:v>MM.40.4</x:v>
      </x:c>
      <x:c r="D39" s="43" t="str">
        <x:v>MM.40</x:v>
      </x:c>
      <x:c r="E39" s="54" t="b">
        <x:v>0</x:v>
      </x:c>
      <x:c r="F39" s="43" t="str">
        <x:v>The patient affected by ADR receives appropriate care at the appropriate time.</x:v>
      </x:c>
      <x:c r="G39" s="43" t="str">
        <x:v>OMR</x:v>
      </x:c>
      <x:c r="H39" s="54" t="b">
        <x:v>1</x:v>
      </x:c>
      <x:c r="I39" s="43" t="n">
        <x:v>90</x:v>
      </x:c>
      <x:c r="J39" s="43" t="str">
        <x:v>MEOwner</x:v>
      </x:c>
      <x:c r="K39" s="44"/>
      <x:c r="L39" s="44" t="n">
        <x:v>46325.67291666667</x:v>
      </x:c>
      <x:c r="M39" s="43" t="str">
        <x:v>Active</x:v>
      </x:c>
      <x:c r="N39" s="41"/>
      <x:c r="O39" s="41"/>
      <x:c r="P39" s="41"/>
      <x:c r="Q39" s="41"/>
      <x:c r="R39" s="41"/>
      <x:c r="S39" s="41"/>
      <x:c r="T39" s="41"/>
      <x:c r="U39" s="41"/>
      <x:c r="V39" s="41"/>
      <x:c r="W39" s="41"/>
      <x:c r="X39" s="41"/>
      <x:c r="Y39" s="41"/>
      <x:c r="Z39" s="41"/>
    </x:row>
    <x:row r="40">
      <x:c r="A40" s="43" t="str">
        <x:v>CTRL-MM-40-9</x:v>
      </x:c>
      <x:c r="B40" s="43" t="str">
        <x:v>TGH-P0-ESR</x:v>
      </x:c>
      <x:c r="C40" s="43" t="str">
        <x:v>MM.40.9</x:v>
      </x:c>
      <x:c r="D40" s="43" t="str">
        <x:v>MM.40</x:v>
      </x:c>
      <x:c r="E40" s="54" t="b">
        <x:v>0</x:v>
      </x:c>
      <x:c r="F40" s="43" t="str">
        <x:v>The hospital reports all serious or unexpected ADRs to the Saudi Food and Drug Authority.</x:v>
      </x:c>
      <x:c r="G40" s="43" t="str">
        <x:v>D,PH,THC</x:v>
      </x:c>
      <x:c r="H40" s="54" t="b">
        <x:v>1</x:v>
      </x:c>
      <x:c r="I40" s="43" t="n">
        <x:v>90</x:v>
      </x:c>
      <x:c r="J40" s="43" t="str">
        <x:v>MEOwner</x:v>
      </x:c>
      <x:c r="K40" s="44"/>
      <x:c r="L40" s="44" t="n">
        <x:v>46325.67291666667</x:v>
      </x:c>
      <x:c r="M40" s="43" t="str">
        <x:v>Active</x:v>
      </x:c>
      <x:c r="N40" s="41"/>
      <x:c r="O40" s="41"/>
      <x:c r="P40" s="41"/>
      <x:c r="Q40" s="41"/>
      <x:c r="R40" s="41"/>
      <x:c r="S40" s="41"/>
      <x:c r="T40" s="41"/>
      <x:c r="U40" s="41"/>
      <x:c r="V40" s="41"/>
      <x:c r="W40" s="41"/>
      <x:c r="X40" s="41"/>
      <x:c r="Y40" s="41"/>
      <x:c r="Z40" s="41"/>
    </x:row>
    <x:row r="41">
      <x:c r="A41" s="43" t="str">
        <x:v>CTRL-MM-41-1</x:v>
      </x:c>
      <x:c r="B41" s="43" t="str">
        <x:v>TGH-P0-ESR</x:v>
      </x:c>
      <x:c r="C41" s="43" t="str">
        <x:v>MM.41.1</x:v>
      </x:c>
      <x:c r="D41" s="43" t="str">
        <x:v>MM.41</x:v>
      </x:c>
      <x:c r="E41" s="54" t="b">
        <x:v>1</x:v>
      </x:c>
      <x:c r="F41" s="43" t="str">
        <x:v>There is a multidisciplinary policy and procedure on handling medication errors, near misses, and hazardous situations (e.g., confusion over look-alike/sound-alike drugs or similar packaging).</x:v>
      </x:c>
      <x:c r="G41" s="43" t="str">
        <x:v>D</x:v>
      </x:c>
      <x:c r="H41" s="54" t="b">
        <x:v>1</x:v>
      </x:c>
      <x:c r="I41" s="43" t="n">
        <x:v>30</x:v>
      </x:c>
      <x:c r="J41" s="43" t="str">
        <x:v>MedicationSafety</x:v>
      </x:c>
      <x:c r="K41" s="44"/>
      <x:c r="L41" s="44" t="n">
        <x:v>46265.67291666667</x:v>
      </x:c>
      <x:c r="M41" s="43" t="str">
        <x:v>Active</x:v>
      </x:c>
      <x:c r="N41" s="41"/>
      <x:c r="O41" s="41"/>
      <x:c r="P41" s="41"/>
      <x:c r="Q41" s="41"/>
      <x:c r="R41" s="41"/>
      <x:c r="S41" s="41"/>
      <x:c r="T41" s="41"/>
      <x:c r="U41" s="41"/>
      <x:c r="V41" s="41"/>
      <x:c r="W41" s="41"/>
      <x:c r="X41" s="41"/>
      <x:c r="Y41" s="41"/>
      <x:c r="Z41" s="41"/>
    </x:row>
    <x:row r="42">
      <x:c r="A42" s="43" t="str">
        <x:v>CTRL-MM-41-2</x:v>
      </x:c>
      <x:c r="B42" s="43" t="str">
        <x:v>TGH-P0-ESR</x:v>
      </x:c>
      <x:c r="C42" s="43" t="str">
        <x:v>MM.41.2</x:v>
      </x:c>
      <x:c r="D42" s="43" t="str">
        <x:v>MM.41</x:v>
      </x:c>
      <x:c r="E42" s="54" t="b">
        <x:v>1</x:v>
      </x:c>
      <x:c r="F42" s="43" t="str">
        <x:v>The policy has a clear and acceptable definition of significant medication error, near misses, and hazardous situations.</x:v>
      </x:c>
      <x:c r="G42" s="43" t="str">
        <x:v>D</x:v>
      </x:c>
      <x:c r="H42" s="54" t="b">
        <x:v>1</x:v>
      </x:c>
      <x:c r="I42" s="43" t="n">
        <x:v>30</x:v>
      </x:c>
      <x:c r="J42" s="43" t="str">
        <x:v>MedicationSafety</x:v>
      </x:c>
      <x:c r="K42" s="44"/>
      <x:c r="L42" s="44" t="n">
        <x:v>46265.67291666667</x:v>
      </x:c>
      <x:c r="M42" s="43" t="str">
        <x:v>Active</x:v>
      </x:c>
      <x:c r="N42" s="41"/>
      <x:c r="O42" s="41"/>
      <x:c r="P42" s="41"/>
      <x:c r="Q42" s="41"/>
      <x:c r="R42" s="41"/>
      <x:c r="S42" s="41"/>
      <x:c r="T42" s="41"/>
      <x:c r="U42" s="41"/>
      <x:c r="V42" s="41"/>
      <x:c r="W42" s="41"/>
      <x:c r="X42" s="41"/>
      <x:c r="Y42" s="41"/>
      <x:c r="Z42" s="41"/>
    </x:row>
    <x:row r="43">
      <x:c r="A43" s="43" t="str">
        <x:v>CTRL-MM-41-3</x:v>
      </x:c>
      <x:c r="B43" s="43" t="str">
        <x:v>TGH-P0-ESR</x:v>
      </x:c>
      <x:c r="C43" s="43" t="str">
        <x:v>MM.41.3</x:v>
      </x:c>
      <x:c r="D43" s="43" t="str">
        <x:v>MM.41</x:v>
      </x:c>
      <x:c r="E43" s="54" t="b">
        <x:v>1</x:v>
      </x:c>
      <x:c r="F43" s="43" t="str">
        <x:v>The treating physician is notified of the medication error at the appropriate time.</x:v>
      </x:c>
      <x:c r="G43" s="43" t="str">
        <x:v>I</x:v>
      </x:c>
      <x:c r="H43" s="54" t="b">
        <x:v>1</x:v>
      </x:c>
      <x:c r="I43" s="43" t="n">
        <x:v>30</x:v>
      </x:c>
      <x:c r="J43" s="43" t="str">
        <x:v>MedicationSafety</x:v>
      </x:c>
      <x:c r="K43" s="44"/>
      <x:c r="L43" s="44" t="n">
        <x:v>46265.67291666667</x:v>
      </x:c>
      <x:c r="M43" s="43" t="str">
        <x:v>Active</x:v>
      </x:c>
      <x:c r="N43" s="41"/>
      <x:c r="O43" s="41"/>
      <x:c r="P43" s="41"/>
      <x:c r="Q43" s="41"/>
      <x:c r="R43" s="41"/>
      <x:c r="S43" s="41"/>
      <x:c r="T43" s="41"/>
      <x:c r="U43" s="41"/>
      <x:c r="V43" s="41"/>
      <x:c r="W43" s="41"/>
      <x:c r="X43" s="41"/>
      <x:c r="Y43" s="41"/>
      <x:c r="Z43" s="41"/>
    </x:row>
    <x:row r="44">
      <x:c r="A44" s="43" t="str">
        <x:v>CTRL-MM-41-4</x:v>
      </x:c>
      <x:c r="B44" s="43" t="str">
        <x:v>TGH-P0-ESR</x:v>
      </x:c>
      <x:c r="C44" s="43" t="str">
        <x:v>MM.41.4</x:v>
      </x:c>
      <x:c r="D44" s="43" t="str">
        <x:v>MM.41</x:v>
      </x:c>
      <x:c r="E44" s="54" t="b">
        <x:v>1</x:v>
      </x:c>
      <x:c r="F44" s="43" t="str">
        <x:v>Medication error reporting is completed within the specified time frame after discovery of the error.</x:v>
      </x:c>
      <x:c r="G44" s="43" t="str">
        <x:v>I</x:v>
      </x:c>
      <x:c r="H44" s="54" t="b">
        <x:v>1</x:v>
      </x:c>
      <x:c r="I44" s="43" t="n">
        <x:v>30</x:v>
      </x:c>
      <x:c r="J44" s="43" t="str">
        <x:v>MedicationSafety</x:v>
      </x:c>
      <x:c r="K44" s="44"/>
      <x:c r="L44" s="44" t="n">
        <x:v>46265.67291666667</x:v>
      </x:c>
      <x:c r="M44" s="43" t="str">
        <x:v>Active</x:v>
      </x:c>
      <x:c r="N44" s="41"/>
      <x:c r="O44" s="41"/>
      <x:c r="P44" s="41"/>
      <x:c r="Q44" s="41"/>
      <x:c r="R44" s="41"/>
      <x:c r="S44" s="41"/>
      <x:c r="T44" s="41"/>
      <x:c r="U44" s="41"/>
      <x:c r="V44" s="41"/>
      <x:c r="W44" s="41"/>
      <x:c r="X44" s="41"/>
      <x:c r="Y44" s="41"/>
      <x:c r="Z44" s="41"/>
    </x:row>
    <x:row r="45">
      <x:c r="A45" s="43" t="str">
        <x:v>CTRL-MM-41-5</x:v>
      </x:c>
      <x:c r="B45" s="43" t="str">
        <x:v>TGH-P0-ESR</x:v>
      </x:c>
      <x:c r="C45" s="43" t="str">
        <x:v>MM.41.5</x:v>
      </x:c>
      <x:c r="D45" s="43" t="str">
        <x:v>MM.41</x:v>
      </x:c>
      <x:c r="E45" s="54" t="b">
        <x:v>1</x:v>
      </x:c>
      <x:c r="F45" s="43" t="str">
        <x:v>The hospital has a standard format for reporting medication errors.</x:v>
      </x:c>
      <x:c r="G45" s="43" t="str">
        <x:v>D</x:v>
      </x:c>
      <x:c r="H45" s="54" t="b">
        <x:v>1</x:v>
      </x:c>
      <x:c r="I45" s="43" t="n">
        <x:v>30</x:v>
      </x:c>
      <x:c r="J45" s="43" t="str">
        <x:v>MedicationSafety</x:v>
      </x:c>
      <x:c r="K45" s="44"/>
      <x:c r="L45" s="44" t="n">
        <x:v>46265.67291666667</x:v>
      </x:c>
      <x:c r="M45" s="43" t="str">
        <x:v>Active</x:v>
      </x:c>
      <x:c r="N45" s="41"/>
      <x:c r="O45" s="41"/>
      <x:c r="P45" s="41"/>
      <x:c r="Q45" s="41"/>
      <x:c r="R45" s="41"/>
      <x:c r="S45" s="41"/>
      <x:c r="T45" s="41"/>
      <x:c r="U45" s="41"/>
      <x:c r="V45" s="41"/>
      <x:c r="W45" s="41"/>
      <x:c r="X45" s="41"/>
      <x:c r="Y45" s="41"/>
      <x:c r="Z45" s="41"/>
    </x:row>
    <x:row r="46">
      <x:c r="A46" s="43" t="str">
        <x:v>CTRL-MM-41-6</x:v>
      </x:c>
      <x:c r="B46" s="43" t="str">
        <x:v>TGH-P0-ESR</x:v>
      </x:c>
      <x:c r="C46" s="43" t="str">
        <x:v>MM.41.6</x:v>
      </x:c>
      <x:c r="D46" s="43" t="str">
        <x:v>MM.41</x:v>
      </x:c>
      <x:c r="E46" s="54" t="b">
        <x:v>1</x:v>
      </x:c>
      <x:c r="F46" s="43" t="str">
        <x:v>Staff are educated on the process and importance of medication error reporting.</x:v>
      </x:c>
      <x:c r="G46" s="43" t="str">
        <x:v>I</x:v>
      </x:c>
      <x:c r="H46" s="54" t="b">
        <x:v>1</x:v>
      </x:c>
      <x:c r="I46" s="43" t="n">
        <x:v>30</x:v>
      </x:c>
      <x:c r="J46" s="43" t="str">
        <x:v>MedicationSafety</x:v>
      </x:c>
      <x:c r="K46" s="44"/>
      <x:c r="L46" s="44" t="n">
        <x:v>46265.67291666667</x:v>
      </x:c>
      <x:c r="M46" s="43" t="str">
        <x:v>Active</x:v>
      </x:c>
      <x:c r="N46" s="41"/>
      <x:c r="O46" s="41"/>
      <x:c r="P46" s="41"/>
      <x:c r="Q46" s="41"/>
      <x:c r="R46" s="41"/>
      <x:c r="S46" s="41"/>
      <x:c r="T46" s="41"/>
      <x:c r="U46" s="41"/>
      <x:c r="V46" s="41"/>
      <x:c r="W46" s="41"/>
      <x:c r="X46" s="41"/>
      <x:c r="Y46" s="41"/>
      <x:c r="Z46" s="41"/>
    </x:row>
    <x:row r="47">
      <x:c r="A47" s="43" t="str">
        <x:v>CTRL-MM-41-7</x:v>
      </x:c>
      <x:c r="B47" s="43" t="str">
        <x:v>TGH-P0-ESR</x:v>
      </x:c>
      <x:c r="C47" s="43" t="str">
        <x:v>MM.41.7</x:v>
      </x:c>
      <x:c r="D47" s="43" t="str">
        <x:v>MM.41</x:v>
      </x:c>
      <x:c r="E47" s="54" t="b">
        <x:v>1</x:v>
      </x:c>
      <x:c r="F47" s="43" t="str">
        <x:v>There is active reporting of medication errors, near misses, and hazardous situations.</x:v>
      </x:c>
      <x:c r="G47" s="43" t="str">
        <x:v>D</x:v>
      </x:c>
      <x:c r="H47" s="54" t="b">
        <x:v>1</x:v>
      </x:c>
      <x:c r="I47" s="43" t="n">
        <x:v>30</x:v>
      </x:c>
      <x:c r="J47" s="43" t="str">
        <x:v>MedicationSafety</x:v>
      </x:c>
      <x:c r="K47" s="44"/>
      <x:c r="L47" s="44" t="n">
        <x:v>46265.67291666667</x:v>
      </x:c>
      <x:c r="M47" s="43" t="str">
        <x:v>Active</x:v>
      </x:c>
      <x:c r="N47" s="41"/>
      <x:c r="O47" s="41"/>
      <x:c r="P47" s="41"/>
      <x:c r="Q47" s="41"/>
      <x:c r="R47" s="41"/>
      <x:c r="S47" s="41"/>
      <x:c r="T47" s="41"/>
      <x:c r="U47" s="41"/>
      <x:c r="V47" s="41"/>
      <x:c r="W47" s="41"/>
      <x:c r="X47" s="41"/>
      <x:c r="Y47" s="41"/>
      <x:c r="Z47" s="41"/>
    </x:row>
    <x:row r="48">
      <x:c r="A48" s="43" t="str">
        <x:v>CTRL-MM-41-8</x:v>
      </x:c>
      <x:c r="B48" s="43" t="str">
        <x:v>TGH-P0-ESR</x:v>
      </x:c>
      <x:c r="C48" s="43" t="str">
        <x:v>MM.41.8</x:v>
      </x:c>
      <x:c r="D48" s="43" t="str">
        <x:v>MM.41</x:v>
      </x:c>
      <x:c r="E48" s="54" t="b">
        <x:v>1</x:v>
      </x:c>
      <x:c r="F48" s="43" t="str">
        <x:v>The hospital conducts intensive root-cause analysis for all significant or potentially significant medication errors.</x:v>
      </x:c>
      <x:c r="G48" s="43" t="str">
        <x:v>D</x:v>
      </x:c>
      <x:c r="H48" s="54" t="b">
        <x:v>1</x:v>
      </x:c>
      <x:c r="I48" s="43" t="n">
        <x:v>30</x:v>
      </x:c>
      <x:c r="J48" s="43" t="str">
        <x:v>MedicationSafety</x:v>
      </x:c>
      <x:c r="K48" s="44"/>
      <x:c r="L48" s="44" t="n">
        <x:v>46265.67291666667</x:v>
      </x:c>
      <x:c r="M48" s="43" t="str">
        <x:v>Active</x:v>
      </x:c>
      <x:c r="N48" s="41"/>
      <x:c r="O48" s="41"/>
      <x:c r="P48" s="41"/>
      <x:c r="Q48" s="41"/>
      <x:c r="R48" s="41"/>
      <x:c r="S48" s="41"/>
      <x:c r="T48" s="41"/>
      <x:c r="U48" s="41"/>
      <x:c r="V48" s="41"/>
      <x:c r="W48" s="41"/>
      <x:c r="X48" s="41"/>
      <x:c r="Y48" s="41"/>
      <x:c r="Z48" s="41"/>
    </x:row>
    <x:row r="49">
      <x:c r="A49" s="43" t="str">
        <x:v>CTRL-MM-41-9</x:v>
      </x:c>
      <x:c r="B49" s="43" t="str">
        <x:v>TGH-P0-ESR</x:v>
      </x:c>
      <x:c r="C49" s="43" t="str">
        <x:v>MM.41.9</x:v>
      </x:c>
      <x:c r="D49" s="43" t="str">
        <x:v>MM.41</x:v>
      </x:c>
      <x:c r="E49" s="54" t="b">
        <x:v>1</x:v>
      </x:c>
      <x:c r="F49" s="43" t="str">
        <x:v>Medication errors, near misses, and hazardous situations are documented in the patient’s medical record.</x:v>
      </x:c>
      <x:c r="G49" s="43" t="str">
        <x:v>OMR</x:v>
      </x:c>
      <x:c r="H49" s="54" t="b">
        <x:v>1</x:v>
      </x:c>
      <x:c r="I49" s="43" t="n">
        <x:v>30</x:v>
      </x:c>
      <x:c r="J49" s="43" t="str">
        <x:v>MedicationSafety</x:v>
      </x:c>
      <x:c r="K49" s="44"/>
      <x:c r="L49" s="44" t="n">
        <x:v>46265.67291666667</x:v>
      </x:c>
      <x:c r="M49" s="43" t="str">
        <x:v>Active</x:v>
      </x:c>
      <x:c r="N49" s="41"/>
      <x:c r="O49" s="41"/>
      <x:c r="P49" s="41"/>
      <x:c r="Q49" s="41"/>
      <x:c r="R49" s="41"/>
      <x:c r="S49" s="41"/>
      <x:c r="T49" s="41"/>
      <x:c r="U49" s="41"/>
      <x:c r="V49" s="41"/>
      <x:c r="W49" s="41"/>
      <x:c r="X49" s="41"/>
      <x:c r="Y49" s="41"/>
      <x:c r="Z49" s="41"/>
    </x:row>
    <x:row r="50">
      <x:c r="A50" s="43" t="str">
        <x:v>CTRL-MM-41-10</x:v>
      </x:c>
      <x:c r="B50" s="43" t="str">
        <x:v>TGH-P0-ESR</x:v>
      </x:c>
      <x:c r="C50" s="43" t="str">
        <x:v>MM.41.10</x:v>
      </x:c>
      <x:c r="D50" s="43" t="str">
        <x:v>MM.41</x:v>
      </x:c>
      <x:c r="E50" s="54" t="b">
        <x:v>1</x:v>
      </x:c>
      <x:c r="F50" s="43" t="str">
        <x:v>The hospital utilizes reported data to improve the medication use process, prevent medication errors, and improve patient safety.</x:v>
      </x:c>
      <x:c r="G50" s="43" t="str">
        <x:v>PH,THC</x:v>
      </x:c>
      <x:c r="H50" s="54" t="b">
        <x:v>1</x:v>
      </x:c>
      <x:c r="I50" s="43" t="n">
        <x:v>30</x:v>
      </x:c>
      <x:c r="J50" s="43" t="str">
        <x:v>MedicationSafety</x:v>
      </x:c>
      <x:c r="K50" s="44"/>
      <x:c r="L50" s="44" t="n">
        <x:v>46265.67291666667</x:v>
      </x:c>
      <x:c r="M50" s="43" t="str">
        <x:v>Active</x:v>
      </x:c>
      <x:c r="N50" s="41"/>
      <x:c r="O50" s="41"/>
      <x:c r="P50" s="41"/>
      <x:c r="Q50" s="41"/>
      <x:c r="R50" s="41"/>
      <x:c r="S50" s="41"/>
      <x:c r="T50" s="41"/>
      <x:c r="U50" s="41"/>
      <x:c r="V50" s="41"/>
      <x:c r="W50" s="41"/>
      <x:c r="X50" s="41"/>
      <x:c r="Y50" s="41"/>
      <x:c r="Z50" s="41"/>
    </x:row>
    <x:row r="51">
      <x:c r="A51" s="43" t="str">
        <x:v>CTRL-MM-41-11</x:v>
      </x:c>
      <x:c r="B51" s="43" t="str">
        <x:v>TGH-P0-ESR</x:v>
      </x:c>
      <x:c r="C51" s="43" t="str">
        <x:v>MM.41.11</x:v>
      </x:c>
      <x:c r="D51" s="43" t="str">
        <x:v>MM.41</x:v>
      </x:c>
      <x:c r="E51" s="54" t="b">
        <x:v>1</x:v>
      </x:c>
      <x:c r="F51" s="43" t="str">
        <x:v>Healthcare professionals are provided with feedback on reported medication errors, near misses, and hazardous situations.</x:v>
      </x:c>
      <x:c r="G51" s="43" t="str">
        <x:v>I</x:v>
      </x:c>
      <x:c r="H51" s="54" t="b">
        <x:v>1</x:v>
      </x:c>
      <x:c r="I51" s="43" t="n">
        <x:v>30</x:v>
      </x:c>
      <x:c r="J51" s="43" t="str">
        <x:v>MedicationSafety</x:v>
      </x:c>
      <x:c r="K51" s="44"/>
      <x:c r="L51" s="44" t="n">
        <x:v>46265.67291666667</x:v>
      </x:c>
      <x:c r="M51" s="43" t="str">
        <x:v>Active</x:v>
      </x:c>
      <x:c r="N51" s="41"/>
      <x:c r="O51" s="41"/>
      <x:c r="P51" s="41"/>
      <x:c r="Q51" s="41"/>
      <x:c r="R51" s="41"/>
      <x:c r="S51" s="41"/>
      <x:c r="T51" s="41"/>
      <x:c r="U51" s="41"/>
      <x:c r="V51" s="41"/>
      <x:c r="W51" s="41"/>
      <x:c r="X51" s="41"/>
      <x:c r="Y51" s="41"/>
      <x:c r="Z51" s="41"/>
    </x:row>
    <x:row r="52">
      <x:c r="A52" s="43" t="str">
        <x:v>CTRL-MM-41-12</x:v>
      </x:c>
      <x:c r="B52" s="43" t="str">
        <x:v>TGH-P0-ESR</x:v>
      </x:c>
      <x:c r="C52" s="43" t="str">
        <x:v>MM.41.12</x:v>
      </x:c>
      <x:c r="D52" s="43" t="str">
        <x:v>MM.41</x:v>
      </x:c>
      <x:c r="E52" s="54" t="b">
        <x:v>1</x:v>
      </x:c>
      <x:c r="F52" s="43" t="str">
        <x:v>The hospital reports sentinel events related to serious medication errors to the relevant authorities</x:v>
      </x:c>
      <x:c r="G52" s="43" t="str">
        <x:v>D,PH,THC</x:v>
      </x:c>
      <x:c r="H52" s="54" t="b">
        <x:v>1</x:v>
      </x:c>
      <x:c r="I52" s="43" t="n">
        <x:v>30</x:v>
      </x:c>
      <x:c r="J52" s="43" t="str">
        <x:v>MedicationSafety</x:v>
      </x:c>
      <x:c r="K52" s="44"/>
      <x:c r="L52" s="44" t="n">
        <x:v>46265.67291666667</x:v>
      </x:c>
      <x:c r="M52" s="43" t="str">
        <x:v>Active</x:v>
      </x:c>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M2"/>
  </x:mergeCells>
  <x:pageMargins left="0.7" right="0.7" top="0.75" bottom="0.75" header="0.3" footer="0.3"/>
  <x:tableParts count="1">
    <x:tablePart xmlns:r="http://schemas.openxmlformats.org/officeDocument/2006/relationships" r:id="R49c43f207d294f60"/>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20" hidden="0" customWidth="1"/>
    <x:col min="5" max="5" width="20" hidden="0" customWidth="1"/>
    <x:col min="6" max="6" width="20" hidden="0" customWidth="1"/>
    <x:col min="7" max="7" width="20" hidden="0" customWidth="1"/>
    <x:col min="8" max="8" width="12" hidden="0" customWidth="1"/>
    <x:col min="9" max="9" width="12" hidden="0" customWidth="1"/>
    <x:col min="10" max="10" width="30" hidden="0" customWidth="1"/>
  </x:cols>
  <x:sheetData>
    <x:row r="1">
      <x:c r="A1" s="40" t="str">
        <x:v>سجل دورات الضمان</x:v>
      </x:c>
      <x:c r="B1" s="40"/>
      <x:c r="C1" s="40"/>
      <x:c r="D1" s="40"/>
      <x:c r="E1" s="40"/>
      <x:c r="F1" s="40"/>
      <x:c r="G1" s="40"/>
      <x:c r="H1" s="40"/>
      <x:c r="I1" s="40"/>
      <x:c r="J1" s="40"/>
      <x:c r="K1" s="41"/>
      <x:c r="L1" s="41"/>
      <x:c r="M1" s="41"/>
      <x:c r="N1" s="41"/>
      <x:c r="O1" s="41"/>
      <x:c r="P1" s="41"/>
      <x:c r="Q1" s="41"/>
      <x:c r="R1" s="41"/>
      <x:c r="S1" s="41"/>
      <x:c r="T1" s="41"/>
      <x:c r="U1" s="41"/>
      <x:c r="V1" s="41"/>
      <x:c r="W1" s="41"/>
      <x:c r="X1" s="41"/>
      <x:c r="Y1" s="41"/>
      <x:c r="Z1" s="41"/>
    </x:row>
    <x:row r="2">
      <x:c r="A2" s="40"/>
      <x:c r="B2" s="40"/>
      <x:c r="C2" s="40"/>
      <x:c r="D2" s="40"/>
      <x:c r="E2" s="40"/>
      <x:c r="F2" s="40"/>
      <x:c r="G2" s="40"/>
      <x:c r="H2" s="40"/>
      <x:c r="I2" s="40"/>
      <x:c r="J2" s="40"/>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Cycle Code</x:v>
      </x:c>
      <x:c r="B4" s="50" t="str">
        <x:v>Program</x:v>
      </x:c>
      <x:c r="C4" s="50" t="str">
        <x:v>Period</x:v>
      </x:c>
      <x:c r="D4" s="50" t="str">
        <x:v>Status</x:v>
      </x:c>
      <x:c r="E4" s="50" t="str">
        <x:v>Opened At</x:v>
      </x:c>
      <x:c r="F4" s="50" t="str">
        <x:v>Due At</x:v>
      </x:c>
      <x:c r="G4" s="50" t="str">
        <x:v>Closed At</x:v>
      </x:c>
      <x:c r="H4" s="50" t="str">
        <x:v>Task Total</x:v>
      </x:c>
      <x:c r="I4" s="50" t="str">
        <x:v>Task Fail</x:v>
      </x:c>
      <x:c r="J4" s="50" t="str">
        <x:v>Evidence Ref</x:v>
      </x:c>
      <x:c r="K4" s="41"/>
      <x:c r="L4" s="41"/>
      <x:c r="M4" s="41"/>
      <x:c r="N4" s="41"/>
      <x:c r="O4" s="41"/>
      <x:c r="P4" s="41"/>
      <x:c r="Q4" s="41"/>
      <x:c r="R4" s="41"/>
      <x:c r="S4" s="41"/>
      <x:c r="T4" s="41"/>
      <x:c r="U4" s="41"/>
      <x:c r="V4" s="41"/>
      <x:c r="W4" s="41"/>
      <x:c r="X4" s="41"/>
      <x:c r="Y4" s="41"/>
      <x:c r="Z4" s="41"/>
    </x:row>
    <x:row r="5">
      <x:c r="A5" s="41" t="str">
        <x:v>TGH-ASSURE-2026-Q3</x:v>
      </x:c>
      <x:c r="B5" s="41" t="str">
        <x:v>TGH-P0-ESR</x:v>
      </x:c>
      <x:c r="C5" s="41" t="str">
        <x:v>2026-Q3</x:v>
      </x:c>
      <x:c r="D5" s="41" t="str">
        <x:v>Draft</x:v>
      </x:c>
      <x:c r="E5" s="56"/>
      <x:c r="F5" s="56" t="n">
        <x:v>46326</x:v>
      </x:c>
      <x:c r="G5" s="56"/>
      <x:c r="H5" s="41" t="n">
        <x:v>48</x:v>
      </x:c>
      <x:c r="I5" s="41" t="n">
        <x:v>0</x:v>
      </x:c>
      <x:c r="J5" s="41" t="str"/>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J2"/>
  </x:mergeCells>
  <x:dataValidations count="1">
    <x:dataValidation type="list" sqref="D5">
      <x:formula1>"Draft,Open,Closed,ClosedWithFindings"</x:formula1>
    </x:dataValidation>
  </x:dataValidations>
  <x:pageMargins left="0.7" right="0.7" top="0.75" bottom="0.75" header="0.3" footer="0.3"/>
  <x:tableParts count="1">
    <x:tablePart xmlns:r="http://schemas.openxmlformats.org/officeDocument/2006/relationships" r:id="R7dbed3c29448476d"/>
  </x:tableParts>
</x:worksheet>
</file>

<file path=xl/worksheets/sheet5.xml><?xml version="1.0" encoding="utf-8"?>
<x:worksheet xmlns:x="http://schemas.openxmlformats.org/spreadsheetml/2006/main">
  <x:sheetFormatPr defaultRowHeight="15"/>
  <x:cols>
    <x:col min="1" max="1" width="24" hidden="0" customWidth="1"/>
    <x:col min="2" max="2" width="10" hidden="0" customWidth="1"/>
    <x:col min="3" max="3" width="22" hidden="0" customWidth="1"/>
    <x:col min="4" max="4" width="12" hidden="0" customWidth="1"/>
    <x:col min="5" max="5" width="10" hidden="0" customWidth="1"/>
    <x:col min="6" max="6" width="24" hidden="0" customWidth="1"/>
    <x:col min="7" max="7" width="14" hidden="0" customWidth="1"/>
    <x:col min="8" max="8" width="14" hidden="0" customWidth="1"/>
    <x:col min="9" max="9" width="16" hidden="0" customWidth="1"/>
    <x:col min="10" max="10" width="30" hidden="0" customWidth="1"/>
    <x:col min="11" max="11" width="22" hidden="0" customWidth="1"/>
    <x:col min="12" max="12" width="45" hidden="0" customWidth="1"/>
  </x:cols>
  <x:sheetData>
    <x:row r="1">
      <x:c r="A1" s="40" t="str">
        <x:v>قالب مهام دورة الضمان - 48 مهمة</x:v>
      </x:c>
      <x:c r="B1" s="40"/>
      <x:c r="C1" s="40"/>
      <x:c r="D1" s="40"/>
      <x:c r="E1" s="40"/>
      <x:c r="F1" s="40"/>
      <x:c r="G1" s="40"/>
      <x:c r="H1" s="40"/>
      <x:c r="I1" s="40"/>
      <x:c r="J1" s="40"/>
      <x:c r="K1" s="40"/>
      <x:c r="L1" s="40"/>
      <x:c r="M1" s="41"/>
      <x:c r="N1" s="41"/>
      <x:c r="O1" s="41"/>
      <x:c r="P1" s="41"/>
      <x:c r="Q1" s="41"/>
      <x:c r="R1" s="41"/>
      <x:c r="S1" s="41"/>
      <x:c r="T1" s="41"/>
      <x:c r="U1" s="41"/>
      <x:c r="V1" s="41"/>
      <x:c r="W1" s="41"/>
      <x:c r="X1" s="41"/>
      <x:c r="Y1" s="41"/>
      <x:c r="Z1" s="41"/>
    </x:row>
    <x:row r="2">
      <x:c r="A2" s="40"/>
      <x:c r="B2" s="40"/>
      <x:c r="C2" s="40"/>
      <x:c r="D2" s="40"/>
      <x:c r="E2" s="40"/>
      <x:c r="F2" s="40"/>
      <x:c r="G2" s="40"/>
      <x:c r="H2" s="40"/>
      <x:c r="I2" s="40"/>
      <x:c r="J2" s="40"/>
      <x:c r="K2" s="40"/>
      <x:c r="L2" s="40"/>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Cycle Code</x:v>
      </x:c>
      <x:c r="B4" s="50" t="str">
        <x:v>Task No</x:v>
      </x:c>
      <x:c r="C4" s="50" t="str">
        <x:v>Control Code</x:v>
      </x:c>
      <x:c r="D4" s="50" t="str">
        <x:v>ME_ID</x:v>
      </x:c>
      <x:c r="E4" s="50" t="str">
        <x:v>Critical</x:v>
      </x:c>
      <x:c r="F4" s="50" t="str">
        <x:v>Owner Role</x:v>
      </x:c>
      <x:c r="G4" s="50" t="str">
        <x:v>Due At</x:v>
      </x:c>
      <x:c r="H4" s="50" t="str">
        <x:v>Status</x:v>
      </x:c>
      <x:c r="I4" s="50" t="str">
        <x:v>Result</x:v>
      </x:c>
      <x:c r="J4" s="50" t="str">
        <x:v>Evidence Reference</x:v>
      </x:c>
      <x:c r="K4" s="50" t="str">
        <x:v>Finding Ref</x:v>
      </x:c>
      <x:c r="L4" s="50" t="str">
        <x:v>Comment</x:v>
      </x:c>
      <x:c r="M4" s="41"/>
      <x:c r="N4" s="41"/>
      <x:c r="O4" s="41"/>
      <x:c r="P4" s="41"/>
      <x:c r="Q4" s="41"/>
      <x:c r="R4" s="41"/>
      <x:c r="S4" s="41"/>
      <x:c r="T4" s="41"/>
      <x:c r="U4" s="41"/>
      <x:c r="V4" s="41"/>
      <x:c r="W4" s="41"/>
      <x:c r="X4" s="41"/>
      <x:c r="Y4" s="41"/>
      <x:c r="Z4" s="41"/>
    </x:row>
    <x:row r="5">
      <x:c r="A5" s="43" t="str">
        <x:v>TGH-ASSURE-2026-Q3</x:v>
      </x:c>
      <x:c r="B5" s="43" t="n">
        <x:v>1</x:v>
      </x:c>
      <x:c r="C5" s="43" t="str">
        <x:v>CTRL-MM-3-6</x:v>
      </x:c>
      <x:c r="D5" s="43" t="str">
        <x:v>MM.3.6</x:v>
      </x:c>
      <x:c r="E5" s="54" t="b">
        <x:v>1</x:v>
      </x:c>
      <x:c r="F5" s="43" t="str">
        <x:v>MEOwner</x:v>
      </x:c>
      <x:c r="G5" s="51" t="n">
        <x:v>46326</x:v>
      </x:c>
      <x:c r="H5" s="43" t="str">
        <x:v>Pending</x:v>
      </x:c>
      <x:c r="I5" s="43" t="str"/>
      <x:c r="J5" s="43" t="str"/>
      <x:c r="K5" s="43" t="str"/>
      <x:c r="L5" s="43" t="str"/>
      <x:c r="M5" s="41"/>
      <x:c r="N5" s="41"/>
      <x:c r="O5" s="41"/>
      <x:c r="P5" s="41"/>
      <x:c r="Q5" s="41"/>
      <x:c r="R5" s="41"/>
      <x:c r="S5" s="41"/>
      <x:c r="T5" s="41"/>
      <x:c r="U5" s="41"/>
      <x:c r="V5" s="41"/>
      <x:c r="W5" s="41"/>
      <x:c r="X5" s="41"/>
      <x:c r="Y5" s="41"/>
      <x:c r="Z5" s="41"/>
    </x:row>
    <x:row r="6">
      <x:c r="A6" s="43" t="str">
        <x:v>TGH-ASSURE-2026-Q3</x:v>
      </x:c>
      <x:c r="B6" s="43" t="n">
        <x:v>2</x:v>
      </x:c>
      <x:c r="C6" s="43" t="str">
        <x:v>CTRL-MM-5-1</x:v>
      </x:c>
      <x:c r="D6" s="43" t="str">
        <x:v>MM.5.1</x:v>
      </x:c>
      <x:c r="E6" s="54" t="b">
        <x:v>1</x:v>
      </x:c>
      <x:c r="F6" s="43" t="str">
        <x:v>MedicationSafety</x:v>
      </x:c>
      <x:c r="G6" s="51" t="n">
        <x:v>46326</x:v>
      </x:c>
      <x:c r="H6" s="43" t="str">
        <x:v>Pending</x:v>
      </x:c>
      <x:c r="I6" s="43" t="str"/>
      <x:c r="J6" s="43" t="str"/>
      <x:c r="K6" s="43" t="str"/>
      <x:c r="L6" s="43" t="str"/>
      <x:c r="M6" s="41"/>
      <x:c r="N6" s="41"/>
      <x:c r="O6" s="41"/>
      <x:c r="P6" s="41"/>
      <x:c r="Q6" s="41"/>
      <x:c r="R6" s="41"/>
      <x:c r="S6" s="41"/>
      <x:c r="T6" s="41"/>
      <x:c r="U6" s="41"/>
      <x:c r="V6" s="41"/>
      <x:c r="W6" s="41"/>
      <x:c r="X6" s="41"/>
      <x:c r="Y6" s="41"/>
      <x:c r="Z6" s="41"/>
    </x:row>
    <x:row r="7">
      <x:c r="A7" s="43" t="str">
        <x:v>TGH-ASSURE-2026-Q3</x:v>
      </x:c>
      <x:c r="B7" s="43" t="n">
        <x:v>3</x:v>
      </x:c>
      <x:c r="C7" s="43" t="str">
        <x:v>CTRL-MM-5-2</x:v>
      </x:c>
      <x:c r="D7" s="43" t="str">
        <x:v>MM.5.2</x:v>
      </x:c>
      <x:c r="E7" s="54" t="b">
        <x:v>1</x:v>
      </x:c>
      <x:c r="F7" s="43" t="str">
        <x:v>MedicationSafety</x:v>
      </x:c>
      <x:c r="G7" s="51" t="n">
        <x:v>46326</x:v>
      </x:c>
      <x:c r="H7" s="43" t="str">
        <x:v>Pending</x:v>
      </x:c>
      <x:c r="I7" s="43" t="str"/>
      <x:c r="J7" s="43" t="str"/>
      <x:c r="K7" s="43" t="str"/>
      <x:c r="L7" s="43" t="str"/>
      <x:c r="M7" s="41"/>
      <x:c r="N7" s="41"/>
      <x:c r="O7" s="41"/>
      <x:c r="P7" s="41"/>
      <x:c r="Q7" s="41"/>
      <x:c r="R7" s="41"/>
      <x:c r="S7" s="41"/>
      <x:c r="T7" s="41"/>
      <x:c r="U7" s="41"/>
      <x:c r="V7" s="41"/>
      <x:c r="W7" s="41"/>
      <x:c r="X7" s="41"/>
      <x:c r="Y7" s="41"/>
      <x:c r="Z7" s="41"/>
    </x:row>
    <x:row r="8">
      <x:c r="A8" s="43" t="str">
        <x:v>TGH-ASSURE-2026-Q3</x:v>
      </x:c>
      <x:c r="B8" s="43" t="n">
        <x:v>4</x:v>
      </x:c>
      <x:c r="C8" s="43" t="str">
        <x:v>CTRL-MM-5-3</x:v>
      </x:c>
      <x:c r="D8" s="43" t="str">
        <x:v>MM.5.3</x:v>
      </x:c>
      <x:c r="E8" s="54" t="b">
        <x:v>1</x:v>
      </x:c>
      <x:c r="F8" s="43" t="str">
        <x:v>MedicationSafety</x:v>
      </x:c>
      <x:c r="G8" s="51" t="n">
        <x:v>46326</x:v>
      </x:c>
      <x:c r="H8" s="43" t="str">
        <x:v>Pending</x:v>
      </x:c>
      <x:c r="I8" s="43" t="str"/>
      <x:c r="J8" s="43" t="str"/>
      <x:c r="K8" s="43" t="str"/>
      <x:c r="L8" s="43" t="str"/>
      <x:c r="M8" s="41"/>
      <x:c r="N8" s="41"/>
      <x:c r="O8" s="41"/>
      <x:c r="P8" s="41"/>
      <x:c r="Q8" s="41"/>
      <x:c r="R8" s="41"/>
      <x:c r="S8" s="41"/>
      <x:c r="T8" s="41"/>
      <x:c r="U8" s="41"/>
      <x:c r="V8" s="41"/>
      <x:c r="W8" s="41"/>
      <x:c r="X8" s="41"/>
      <x:c r="Y8" s="41"/>
      <x:c r="Z8" s="41"/>
    </x:row>
    <x:row r="9">
      <x:c r="A9" s="43" t="str">
        <x:v>TGH-ASSURE-2026-Q3</x:v>
      </x:c>
      <x:c r="B9" s="43" t="n">
        <x:v>5</x:v>
      </x:c>
      <x:c r="C9" s="43" t="str">
        <x:v>CTRL-MM-5-4</x:v>
      </x:c>
      <x:c r="D9" s="43" t="str">
        <x:v>MM.5.4</x:v>
      </x:c>
      <x:c r="E9" s="54" t="b">
        <x:v>1</x:v>
      </x:c>
      <x:c r="F9" s="43" t="str">
        <x:v>MedicationSafety</x:v>
      </x:c>
      <x:c r="G9" s="51" t="n">
        <x:v>46326</x:v>
      </x:c>
      <x:c r="H9" s="43" t="str">
        <x:v>Pending</x:v>
      </x:c>
      <x:c r="I9" s="43" t="str"/>
      <x:c r="J9" s="43" t="str"/>
      <x:c r="K9" s="43" t="str"/>
      <x:c r="L9" s="43" t="str"/>
      <x:c r="M9" s="41"/>
      <x:c r="N9" s="41"/>
      <x:c r="O9" s="41"/>
      <x:c r="P9" s="41"/>
      <x:c r="Q9" s="41"/>
      <x:c r="R9" s="41"/>
      <x:c r="S9" s="41"/>
      <x:c r="T9" s="41"/>
      <x:c r="U9" s="41"/>
      <x:c r="V9" s="41"/>
      <x:c r="W9" s="41"/>
      <x:c r="X9" s="41"/>
      <x:c r="Y9" s="41"/>
      <x:c r="Z9" s="41"/>
    </x:row>
    <x:row r="10">
      <x:c r="A10" s="43" t="str">
        <x:v>TGH-ASSURE-2026-Q3</x:v>
      </x:c>
      <x:c r="B10" s="43" t="n">
        <x:v>6</x:v>
      </x:c>
      <x:c r="C10" s="43" t="str">
        <x:v>CTRL-MM-6-1</x:v>
      </x:c>
      <x:c r="D10" s="43" t="str">
        <x:v>MM.6.1</x:v>
      </x:c>
      <x:c r="E10" s="54" t="b">
        <x:v>1</x:v>
      </x:c>
      <x:c r="F10" s="43" t="str">
        <x:v>MedicationSafety</x:v>
      </x:c>
      <x:c r="G10" s="51" t="n">
        <x:v>46326</x:v>
      </x:c>
      <x:c r="H10" s="43" t="str">
        <x:v>Pending</x:v>
      </x:c>
      <x:c r="I10" s="43" t="str"/>
      <x:c r="J10" s="43" t="str"/>
      <x:c r="K10" s="43" t="str"/>
      <x:c r="L10" s="43" t="str"/>
      <x:c r="M10" s="41"/>
      <x:c r="N10" s="41"/>
      <x:c r="O10" s="41"/>
      <x:c r="P10" s="41"/>
      <x:c r="Q10" s="41"/>
      <x:c r="R10" s="41"/>
      <x:c r="S10" s="41"/>
      <x:c r="T10" s="41"/>
      <x:c r="U10" s="41"/>
      <x:c r="V10" s="41"/>
      <x:c r="W10" s="41"/>
      <x:c r="X10" s="41"/>
      <x:c r="Y10" s="41"/>
      <x:c r="Z10" s="41"/>
    </x:row>
    <x:row r="11">
      <x:c r="A11" s="43" t="str">
        <x:v>TGH-ASSURE-2026-Q3</x:v>
      </x:c>
      <x:c r="B11" s="43" t="n">
        <x:v>7</x:v>
      </x:c>
      <x:c r="C11" s="43" t="str">
        <x:v>CTRL-MM-6-2</x:v>
      </x:c>
      <x:c r="D11" s="43" t="str">
        <x:v>MM.6.2</x:v>
      </x:c>
      <x:c r="E11" s="54" t="b">
        <x:v>1</x:v>
      </x:c>
      <x:c r="F11" s="43" t="str">
        <x:v>MedicationSafety</x:v>
      </x:c>
      <x:c r="G11" s="51" t="n">
        <x:v>46326</x:v>
      </x:c>
      <x:c r="H11" s="43" t="str">
        <x:v>Pending</x:v>
      </x:c>
      <x:c r="I11" s="43" t="str"/>
      <x:c r="J11" s="43" t="str"/>
      <x:c r="K11" s="43" t="str"/>
      <x:c r="L11" s="43" t="str"/>
      <x:c r="M11" s="41"/>
      <x:c r="N11" s="41"/>
      <x:c r="O11" s="41"/>
      <x:c r="P11" s="41"/>
      <x:c r="Q11" s="41"/>
      <x:c r="R11" s="41"/>
      <x:c r="S11" s="41"/>
      <x:c r="T11" s="41"/>
      <x:c r="U11" s="41"/>
      <x:c r="V11" s="41"/>
      <x:c r="W11" s="41"/>
      <x:c r="X11" s="41"/>
      <x:c r="Y11" s="41"/>
      <x:c r="Z11" s="41"/>
    </x:row>
    <x:row r="12">
      <x:c r="A12" s="43" t="str">
        <x:v>TGH-ASSURE-2026-Q3</x:v>
      </x:c>
      <x:c r="B12" s="43" t="n">
        <x:v>8</x:v>
      </x:c>
      <x:c r="C12" s="43" t="str">
        <x:v>CTRL-MM-6-3</x:v>
      </x:c>
      <x:c r="D12" s="43" t="str">
        <x:v>MM.6.3</x:v>
      </x:c>
      <x:c r="E12" s="54" t="b">
        <x:v>1</x:v>
      </x:c>
      <x:c r="F12" s="43" t="str">
        <x:v>MedicationSafety</x:v>
      </x:c>
      <x:c r="G12" s="51" t="n">
        <x:v>46326</x:v>
      </x:c>
      <x:c r="H12" s="43" t="str">
        <x:v>Pending</x:v>
      </x:c>
      <x:c r="I12" s="43" t="str"/>
      <x:c r="J12" s="43" t="str"/>
      <x:c r="K12" s="43" t="str"/>
      <x:c r="L12" s="43" t="str"/>
      <x:c r="M12" s="41"/>
      <x:c r="N12" s="41"/>
      <x:c r="O12" s="41"/>
      <x:c r="P12" s="41"/>
      <x:c r="Q12" s="41"/>
      <x:c r="R12" s="41"/>
      <x:c r="S12" s="41"/>
      <x:c r="T12" s="41"/>
      <x:c r="U12" s="41"/>
      <x:c r="V12" s="41"/>
      <x:c r="W12" s="41"/>
      <x:c r="X12" s="41"/>
      <x:c r="Y12" s="41"/>
      <x:c r="Z12" s="41"/>
    </x:row>
    <x:row r="13">
      <x:c r="A13" s="43" t="str">
        <x:v>TGH-ASSURE-2026-Q3</x:v>
      </x:c>
      <x:c r="B13" s="43" t="n">
        <x:v>9</x:v>
      </x:c>
      <x:c r="C13" s="43" t="str">
        <x:v>CTRL-MM-12-7</x:v>
      </x:c>
      <x:c r="D13" s="43" t="str">
        <x:v>MM.12.7</x:v>
      </x:c>
      <x:c r="E13" s="54" t="b">
        <x:v>1</x:v>
      </x:c>
      <x:c r="F13" s="43" t="str">
        <x:v>MEOwner</x:v>
      </x:c>
      <x:c r="G13" s="51" t="n">
        <x:v>46326</x:v>
      </x:c>
      <x:c r="H13" s="43" t="str">
        <x:v>Pending</x:v>
      </x:c>
      <x:c r="I13" s="43" t="str"/>
      <x:c r="J13" s="43" t="str"/>
      <x:c r="K13" s="43" t="str"/>
      <x:c r="L13" s="43" t="str"/>
      <x:c r="M13" s="41"/>
      <x:c r="N13" s="41"/>
      <x:c r="O13" s="41"/>
      <x:c r="P13" s="41"/>
      <x:c r="Q13" s="41"/>
      <x:c r="R13" s="41"/>
      <x:c r="S13" s="41"/>
      <x:c r="T13" s="41"/>
      <x:c r="U13" s="41"/>
      <x:c r="V13" s="41"/>
      <x:c r="W13" s="41"/>
      <x:c r="X13" s="41"/>
      <x:c r="Y13" s="41"/>
      <x:c r="Z13" s="41"/>
    </x:row>
    <x:row r="14">
      <x:c r="A14" s="43" t="str">
        <x:v>TGH-ASSURE-2026-Q3</x:v>
      </x:c>
      <x:c r="B14" s="43" t="n">
        <x:v>10</x:v>
      </x:c>
      <x:c r="C14" s="43" t="str">
        <x:v>CTRL-MM-12-8</x:v>
      </x:c>
      <x:c r="D14" s="43" t="str">
        <x:v>MM.12.8</x:v>
      </x:c>
      <x:c r="E14" s="54" t="b">
        <x:v>1</x:v>
      </x:c>
      <x:c r="F14" s="43" t="str">
        <x:v>MEOwner</x:v>
      </x:c>
      <x:c r="G14" s="51" t="n">
        <x:v>46326</x:v>
      </x:c>
      <x:c r="H14" s="43" t="str">
        <x:v>Pending</x:v>
      </x:c>
      <x:c r="I14" s="43" t="str"/>
      <x:c r="J14" s="43" t="str"/>
      <x:c r="K14" s="43" t="str"/>
      <x:c r="L14" s="43" t="str"/>
      <x:c r="M14" s="41"/>
      <x:c r="N14" s="41"/>
      <x:c r="O14" s="41"/>
      <x:c r="P14" s="41"/>
      <x:c r="Q14" s="41"/>
      <x:c r="R14" s="41"/>
      <x:c r="S14" s="41"/>
      <x:c r="T14" s="41"/>
      <x:c r="U14" s="41"/>
      <x:c r="V14" s="41"/>
      <x:c r="W14" s="41"/>
      <x:c r="X14" s="41"/>
      <x:c r="Y14" s="41"/>
      <x:c r="Z14" s="41"/>
    </x:row>
    <x:row r="15">
      <x:c r="A15" s="43" t="str">
        <x:v>TGH-ASSURE-2026-Q3</x:v>
      </x:c>
      <x:c r="B15" s="43" t="n">
        <x:v>11</x:v>
      </x:c>
      <x:c r="C15" s="43" t="str">
        <x:v>CTRL-MM-12-10</x:v>
      </x:c>
      <x:c r="D15" s="43" t="str">
        <x:v>MM.12.10</x:v>
      </x:c>
      <x:c r="E15" s="54" t="b">
        <x:v>1</x:v>
      </x:c>
      <x:c r="F15" s="43" t="str">
        <x:v>MEOwner</x:v>
      </x:c>
      <x:c r="G15" s="51" t="n">
        <x:v>46326</x:v>
      </x:c>
      <x:c r="H15" s="43" t="str">
        <x:v>Pending</x:v>
      </x:c>
      <x:c r="I15" s="43" t="str"/>
      <x:c r="J15" s="43" t="str"/>
      <x:c r="K15" s="43" t="str"/>
      <x:c r="L15" s="43" t="str"/>
      <x:c r="M15" s="41"/>
      <x:c r="N15" s="41"/>
      <x:c r="O15" s="41"/>
      <x:c r="P15" s="41"/>
      <x:c r="Q15" s="41"/>
      <x:c r="R15" s="41"/>
      <x:c r="S15" s="41"/>
      <x:c r="T15" s="41"/>
      <x:c r="U15" s="41"/>
      <x:c r="V15" s="41"/>
      <x:c r="W15" s="41"/>
      <x:c r="X15" s="41"/>
      <x:c r="Y15" s="41"/>
      <x:c r="Z15" s="41"/>
    </x:row>
    <x:row r="16">
      <x:c r="A16" s="43" t="str">
        <x:v>TGH-ASSURE-2026-Q3</x:v>
      </x:c>
      <x:c r="B16" s="43" t="n">
        <x:v>12</x:v>
      </x:c>
      <x:c r="C16" s="43" t="str">
        <x:v>CTRL-MM-16-6</x:v>
      </x:c>
      <x:c r="D16" s="43" t="str">
        <x:v>MM.16.6</x:v>
      </x:c>
      <x:c r="E16" s="54" t="b">
        <x:v>1</x:v>
      </x:c>
      <x:c r="F16" s="43" t="str">
        <x:v>MEOwner</x:v>
      </x:c>
      <x:c r="G16" s="51" t="n">
        <x:v>46326</x:v>
      </x:c>
      <x:c r="H16" s="43" t="str">
        <x:v>Pending</x:v>
      </x:c>
      <x:c r="I16" s="43" t="str"/>
      <x:c r="J16" s="43" t="str"/>
      <x:c r="K16" s="43" t="str"/>
      <x:c r="L16" s="43" t="str"/>
      <x:c r="M16" s="41"/>
      <x:c r="N16" s="41"/>
      <x:c r="O16" s="41"/>
      <x:c r="P16" s="41"/>
      <x:c r="Q16" s="41"/>
      <x:c r="R16" s="41"/>
      <x:c r="S16" s="41"/>
      <x:c r="T16" s="41"/>
      <x:c r="U16" s="41"/>
      <x:c r="V16" s="41"/>
      <x:c r="W16" s="41"/>
      <x:c r="X16" s="41"/>
      <x:c r="Y16" s="41"/>
      <x:c r="Z16" s="41"/>
    </x:row>
    <x:row r="17">
      <x:c r="A17" s="43" t="str">
        <x:v>TGH-ASSURE-2026-Q3</x:v>
      </x:c>
      <x:c r="B17" s="43" t="n">
        <x:v>13</x:v>
      </x:c>
      <x:c r="C17" s="43" t="str">
        <x:v>CTRL-MM-18-4</x:v>
      </x:c>
      <x:c r="D17" s="43" t="str">
        <x:v>MM.18.4</x:v>
      </x:c>
      <x:c r="E17" s="54" t="b">
        <x:v>1</x:v>
      </x:c>
      <x:c r="F17" s="43" t="str">
        <x:v>MEOwner</x:v>
      </x:c>
      <x:c r="G17" s="51" t="n">
        <x:v>46326</x:v>
      </x:c>
      <x:c r="H17" s="43" t="str">
        <x:v>Pending</x:v>
      </x:c>
      <x:c r="I17" s="43" t="str"/>
      <x:c r="J17" s="43" t="str"/>
      <x:c r="K17" s="43" t="str"/>
      <x:c r="L17" s="43" t="str"/>
      <x:c r="M17" s="41"/>
      <x:c r="N17" s="41"/>
      <x:c r="O17" s="41"/>
      <x:c r="P17" s="41"/>
      <x:c r="Q17" s="41"/>
      <x:c r="R17" s="41"/>
      <x:c r="S17" s="41"/>
      <x:c r="T17" s="41"/>
      <x:c r="U17" s="41"/>
      <x:c r="V17" s="41"/>
      <x:c r="W17" s="41"/>
      <x:c r="X17" s="41"/>
      <x:c r="Y17" s="41"/>
      <x:c r="Z17" s="41"/>
    </x:row>
    <x:row r="18">
      <x:c r="A18" s="43" t="str">
        <x:v>TGH-ASSURE-2026-Q3</x:v>
      </x:c>
      <x:c r="B18" s="43" t="n">
        <x:v>14</x:v>
      </x:c>
      <x:c r="C18" s="43" t="str">
        <x:v>CTRL-MM-18-5</x:v>
      </x:c>
      <x:c r="D18" s="43" t="str">
        <x:v>MM.18.5</x:v>
      </x:c>
      <x:c r="E18" s="54" t="b">
        <x:v>1</x:v>
      </x:c>
      <x:c r="F18" s="43" t="str">
        <x:v>MEOwner</x:v>
      </x:c>
      <x:c r="G18" s="51" t="n">
        <x:v>46326</x:v>
      </x:c>
      <x:c r="H18" s="43" t="str">
        <x:v>Pending</x:v>
      </x:c>
      <x:c r="I18" s="43" t="str"/>
      <x:c r="J18" s="43" t="str"/>
      <x:c r="K18" s="43" t="str"/>
      <x:c r="L18" s="43" t="str"/>
      <x:c r="M18" s="41"/>
      <x:c r="N18" s="41"/>
      <x:c r="O18" s="41"/>
      <x:c r="P18" s="41"/>
      <x:c r="Q18" s="41"/>
      <x:c r="R18" s="41"/>
      <x:c r="S18" s="41"/>
      <x:c r="T18" s="41"/>
      <x:c r="U18" s="41"/>
      <x:c r="V18" s="41"/>
      <x:c r="W18" s="41"/>
      <x:c r="X18" s="41"/>
      <x:c r="Y18" s="41"/>
      <x:c r="Z18" s="41"/>
    </x:row>
    <x:row r="19">
      <x:c r="A19" s="43" t="str">
        <x:v>TGH-ASSURE-2026-Q3</x:v>
      </x:c>
      <x:c r="B19" s="43" t="n">
        <x:v>15</x:v>
      </x:c>
      <x:c r="C19" s="43" t="str">
        <x:v>CTRL-MM-20-3</x:v>
      </x:c>
      <x:c r="D19" s="43" t="str">
        <x:v>MM.20.3</x:v>
      </x:c>
      <x:c r="E19" s="54" t="b">
        <x:v>1</x:v>
      </x:c>
      <x:c r="F19" s="43" t="str">
        <x:v>MEOwner</x:v>
      </x:c>
      <x:c r="G19" s="51" t="n">
        <x:v>46326</x:v>
      </x:c>
      <x:c r="H19" s="43" t="str">
        <x:v>Pending</x:v>
      </x:c>
      <x:c r="I19" s="43" t="str"/>
      <x:c r="J19" s="43" t="str"/>
      <x:c r="K19" s="43" t="str"/>
      <x:c r="L19" s="43" t="str"/>
      <x:c r="M19" s="41"/>
      <x:c r="N19" s="41"/>
      <x:c r="O19" s="41"/>
      <x:c r="P19" s="41"/>
      <x:c r="Q19" s="41"/>
      <x:c r="R19" s="41"/>
      <x:c r="S19" s="41"/>
      <x:c r="T19" s="41"/>
      <x:c r="U19" s="41"/>
      <x:c r="V19" s="41"/>
      <x:c r="W19" s="41"/>
      <x:c r="X19" s="41"/>
      <x:c r="Y19" s="41"/>
      <x:c r="Z19" s="41"/>
    </x:row>
    <x:row r="20">
      <x:c r="A20" s="43" t="str">
        <x:v>TGH-ASSURE-2026-Q3</x:v>
      </x:c>
      <x:c r="B20" s="43" t="n">
        <x:v>16</x:v>
      </x:c>
      <x:c r="C20" s="43" t="str">
        <x:v>CTRL-MM-20-8</x:v>
      </x:c>
      <x:c r="D20" s="43" t="str">
        <x:v>MM.20.8</x:v>
      </x:c>
      <x:c r="E20" s="54" t="b">
        <x:v>1</x:v>
      </x:c>
      <x:c r="F20" s="43" t="str">
        <x:v>MEOwner</x:v>
      </x:c>
      <x:c r="G20" s="51" t="n">
        <x:v>46326</x:v>
      </x:c>
      <x:c r="H20" s="43" t="str">
        <x:v>Pending</x:v>
      </x:c>
      <x:c r="I20" s="43" t="str"/>
      <x:c r="J20" s="43" t="str"/>
      <x:c r="K20" s="43" t="str"/>
      <x:c r="L20" s="43" t="str"/>
      <x:c r="M20" s="41"/>
      <x:c r="N20" s="41"/>
      <x:c r="O20" s="41"/>
      <x:c r="P20" s="41"/>
      <x:c r="Q20" s="41"/>
      <x:c r="R20" s="41"/>
      <x:c r="S20" s="41"/>
      <x:c r="T20" s="41"/>
      <x:c r="U20" s="41"/>
      <x:c r="V20" s="41"/>
      <x:c r="W20" s="41"/>
      <x:c r="X20" s="41"/>
      <x:c r="Y20" s="41"/>
      <x:c r="Z20" s="41"/>
    </x:row>
    <x:row r="21">
      <x:c r="A21" s="43" t="str">
        <x:v>TGH-ASSURE-2026-Q3</x:v>
      </x:c>
      <x:c r="B21" s="43" t="n">
        <x:v>17</x:v>
      </x:c>
      <x:c r="C21" s="43" t="str">
        <x:v>CTRL-MM-23-3</x:v>
      </x:c>
      <x:c r="D21" s="43" t="str">
        <x:v>MM.23.3</x:v>
      </x:c>
      <x:c r="E21" s="54" t="b">
        <x:v>1</x:v>
      </x:c>
      <x:c r="F21" s="43" t="str">
        <x:v>MEOwner</x:v>
      </x:c>
      <x:c r="G21" s="51" t="n">
        <x:v>46326</x:v>
      </x:c>
      <x:c r="H21" s="43" t="str">
        <x:v>Pending</x:v>
      </x:c>
      <x:c r="I21" s="43" t="str"/>
      <x:c r="J21" s="43" t="str"/>
      <x:c r="K21" s="43" t="str"/>
      <x:c r="L21" s="43" t="str"/>
      <x:c r="M21" s="41"/>
      <x:c r="N21" s="41"/>
      <x:c r="O21" s="41"/>
      <x:c r="P21" s="41"/>
      <x:c r="Q21" s="41"/>
      <x:c r="R21" s="41"/>
      <x:c r="S21" s="41"/>
      <x:c r="T21" s="41"/>
      <x:c r="U21" s="41"/>
      <x:c r="V21" s="41"/>
      <x:c r="W21" s="41"/>
      <x:c r="X21" s="41"/>
      <x:c r="Y21" s="41"/>
      <x:c r="Z21" s="41"/>
    </x:row>
    <x:row r="22">
      <x:c r="A22" s="43" t="str">
        <x:v>TGH-ASSURE-2026-Q3</x:v>
      </x:c>
      <x:c r="B22" s="43" t="n">
        <x:v>18</x:v>
      </x:c>
      <x:c r="C22" s="43" t="str">
        <x:v>CTRL-MM-23-4</x:v>
      </x:c>
      <x:c r="D22" s="43" t="str">
        <x:v>MM.23.4</x:v>
      </x:c>
      <x:c r="E22" s="54" t="b">
        <x:v>1</x:v>
      </x:c>
      <x:c r="F22" s="43" t="str">
        <x:v>MEOwner</x:v>
      </x:c>
      <x:c r="G22" s="51" t="n">
        <x:v>46326</x:v>
      </x:c>
      <x:c r="H22" s="43" t="str">
        <x:v>Pending</x:v>
      </x:c>
      <x:c r="I22" s="43" t="str"/>
      <x:c r="J22" s="43" t="str"/>
      <x:c r="K22" s="43" t="str"/>
      <x:c r="L22" s="43" t="str"/>
      <x:c r="M22" s="41"/>
      <x:c r="N22" s="41"/>
      <x:c r="O22" s="41"/>
      <x:c r="P22" s="41"/>
      <x:c r="Q22" s="41"/>
      <x:c r="R22" s="41"/>
      <x:c r="S22" s="41"/>
      <x:c r="T22" s="41"/>
      <x:c r="U22" s="41"/>
      <x:c r="V22" s="41"/>
      <x:c r="W22" s="41"/>
      <x:c r="X22" s="41"/>
      <x:c r="Y22" s="41"/>
      <x:c r="Z22" s="41"/>
    </x:row>
    <x:row r="23">
      <x:c r="A23" s="43" t="str">
        <x:v>TGH-ASSURE-2026-Q3</x:v>
      </x:c>
      <x:c r="B23" s="43" t="n">
        <x:v>19</x:v>
      </x:c>
      <x:c r="C23" s="43" t="str">
        <x:v>CTRL-MM-25-2</x:v>
      </x:c>
      <x:c r="D23" s="43" t="str">
        <x:v>MM.25.2</x:v>
      </x:c>
      <x:c r="E23" s="54" t="b">
        <x:v>1</x:v>
      </x:c>
      <x:c r="F23" s="43" t="str">
        <x:v>MEOwner</x:v>
      </x:c>
      <x:c r="G23" s="51" t="n">
        <x:v>46326</x:v>
      </x:c>
      <x:c r="H23" s="43" t="str">
        <x:v>Pending</x:v>
      </x:c>
      <x:c r="I23" s="43" t="str"/>
      <x:c r="J23" s="43" t="str"/>
      <x:c r="K23" s="43" t="str"/>
      <x:c r="L23" s="43" t="str"/>
      <x:c r="M23" s="41"/>
      <x:c r="N23" s="41"/>
      <x:c r="O23" s="41"/>
      <x:c r="P23" s="41"/>
      <x:c r="Q23" s="41"/>
      <x:c r="R23" s="41"/>
      <x:c r="S23" s="41"/>
      <x:c r="T23" s="41"/>
      <x:c r="U23" s="41"/>
      <x:c r="V23" s="41"/>
      <x:c r="W23" s="41"/>
      <x:c r="X23" s="41"/>
      <x:c r="Y23" s="41"/>
      <x:c r="Z23" s="41"/>
    </x:row>
    <x:row r="24">
      <x:c r="A24" s="43" t="str">
        <x:v>TGH-ASSURE-2026-Q3</x:v>
      </x:c>
      <x:c r="B24" s="43" t="n">
        <x:v>20</x:v>
      </x:c>
      <x:c r="C24" s="43" t="str">
        <x:v>CTRL-MM-25-3</x:v>
      </x:c>
      <x:c r="D24" s="43" t="str">
        <x:v>MM.25.3</x:v>
      </x:c>
      <x:c r="E24" s="54" t="b">
        <x:v>1</x:v>
      </x:c>
      <x:c r="F24" s="43" t="str">
        <x:v>MEOwner</x:v>
      </x:c>
      <x:c r="G24" s="51" t="n">
        <x:v>46326</x:v>
      </x:c>
      <x:c r="H24" s="43" t="str">
        <x:v>Pending</x:v>
      </x:c>
      <x:c r="I24" s="43" t="str"/>
      <x:c r="J24" s="43" t="str"/>
      <x:c r="K24" s="43" t="str"/>
      <x:c r="L24" s="43" t="str"/>
      <x:c r="M24" s="41"/>
      <x:c r="N24" s="41"/>
      <x:c r="O24" s="41"/>
      <x:c r="P24" s="41"/>
      <x:c r="Q24" s="41"/>
      <x:c r="R24" s="41"/>
      <x:c r="S24" s="41"/>
      <x:c r="T24" s="41"/>
      <x:c r="U24" s="41"/>
      <x:c r="V24" s="41"/>
      <x:c r="W24" s="41"/>
      <x:c r="X24" s="41"/>
      <x:c r="Y24" s="41"/>
      <x:c r="Z24" s="41"/>
    </x:row>
    <x:row r="25">
      <x:c r="A25" s="43" t="str">
        <x:v>TGH-ASSURE-2026-Q3</x:v>
      </x:c>
      <x:c r="B25" s="43" t="n">
        <x:v>21</x:v>
      </x:c>
      <x:c r="C25" s="43" t="str">
        <x:v>CTRL-MM-25-4</x:v>
      </x:c>
      <x:c r="D25" s="43" t="str">
        <x:v>MM.25.4</x:v>
      </x:c>
      <x:c r="E25" s="54" t="b">
        <x:v>1</x:v>
      </x:c>
      <x:c r="F25" s="43" t="str">
        <x:v>MEOwner</x:v>
      </x:c>
      <x:c r="G25" s="51" t="n">
        <x:v>46326</x:v>
      </x:c>
      <x:c r="H25" s="43" t="str">
        <x:v>Pending</x:v>
      </x:c>
      <x:c r="I25" s="43" t="str"/>
      <x:c r="J25" s="43" t="str"/>
      <x:c r="K25" s="43" t="str"/>
      <x:c r="L25" s="43" t="str"/>
      <x:c r="M25" s="41"/>
      <x:c r="N25" s="41"/>
      <x:c r="O25" s="41"/>
      <x:c r="P25" s="41"/>
      <x:c r="Q25" s="41"/>
      <x:c r="R25" s="41"/>
      <x:c r="S25" s="41"/>
      <x:c r="T25" s="41"/>
      <x:c r="U25" s="41"/>
      <x:c r="V25" s="41"/>
      <x:c r="W25" s="41"/>
      <x:c r="X25" s="41"/>
      <x:c r="Y25" s="41"/>
      <x:c r="Z25" s="41"/>
    </x:row>
    <x:row r="26">
      <x:c r="A26" s="43" t="str">
        <x:v>TGH-ASSURE-2026-Q3</x:v>
      </x:c>
      <x:c r="B26" s="43" t="n">
        <x:v>22</x:v>
      </x:c>
      <x:c r="C26" s="43" t="str">
        <x:v>CTRL-MM-31-7</x:v>
      </x:c>
      <x:c r="D26" s="43" t="str">
        <x:v>MM.31.7</x:v>
      </x:c>
      <x:c r="E26" s="54" t="b">
        <x:v>1</x:v>
      </x:c>
      <x:c r="F26" s="43" t="str">
        <x:v>MEOwner</x:v>
      </x:c>
      <x:c r="G26" s="51" t="n">
        <x:v>46326</x:v>
      </x:c>
      <x:c r="H26" s="43" t="str">
        <x:v>Pending</x:v>
      </x:c>
      <x:c r="I26" s="43" t="str"/>
      <x:c r="J26" s="43" t="str"/>
      <x:c r="K26" s="43" t="str"/>
      <x:c r="L26" s="43" t="str"/>
      <x:c r="M26" s="41"/>
      <x:c r="N26" s="41"/>
      <x:c r="O26" s="41"/>
      <x:c r="P26" s="41"/>
      <x:c r="Q26" s="41"/>
      <x:c r="R26" s="41"/>
      <x:c r="S26" s="41"/>
      <x:c r="T26" s="41"/>
      <x:c r="U26" s="41"/>
      <x:c r="V26" s="41"/>
      <x:c r="W26" s="41"/>
      <x:c r="X26" s="41"/>
      <x:c r="Y26" s="41"/>
      <x:c r="Z26" s="41"/>
    </x:row>
    <x:row r="27">
      <x:c r="A27" s="43" t="str">
        <x:v>TGH-ASSURE-2026-Q3</x:v>
      </x:c>
      <x:c r="B27" s="43" t="n">
        <x:v>23</x:v>
      </x:c>
      <x:c r="C27" s="43" t="str">
        <x:v>CTRL-MM-32-4</x:v>
      </x:c>
      <x:c r="D27" s="43" t="str">
        <x:v>MM.32.4</x:v>
      </x:c>
      <x:c r="E27" s="54" t="b">
        <x:v>1</x:v>
      </x:c>
      <x:c r="F27" s="43" t="str">
        <x:v>MEOwner</x:v>
      </x:c>
      <x:c r="G27" s="51" t="n">
        <x:v>46326</x:v>
      </x:c>
      <x:c r="H27" s="43" t="str">
        <x:v>Pending</x:v>
      </x:c>
      <x:c r="I27" s="43" t="str"/>
      <x:c r="J27" s="43" t="str"/>
      <x:c r="K27" s="43" t="str"/>
      <x:c r="L27" s="43" t="str"/>
      <x:c r="M27" s="41"/>
      <x:c r="N27" s="41"/>
      <x:c r="O27" s="41"/>
      <x:c r="P27" s="41"/>
      <x:c r="Q27" s="41"/>
      <x:c r="R27" s="41"/>
      <x:c r="S27" s="41"/>
      <x:c r="T27" s="41"/>
      <x:c r="U27" s="41"/>
      <x:c r="V27" s="41"/>
      <x:c r="W27" s="41"/>
      <x:c r="X27" s="41"/>
      <x:c r="Y27" s="41"/>
      <x:c r="Z27" s="41"/>
    </x:row>
    <x:row r="28">
      <x:c r="A28" s="43" t="str">
        <x:v>TGH-ASSURE-2026-Q3</x:v>
      </x:c>
      <x:c r="B28" s="43" t="n">
        <x:v>24</x:v>
      </x:c>
      <x:c r="C28" s="43" t="str">
        <x:v>CTRL-MM-33-2</x:v>
      </x:c>
      <x:c r="D28" s="43" t="str">
        <x:v>MM.33.2</x:v>
      </x:c>
      <x:c r="E28" s="54" t="b">
        <x:v>1</x:v>
      </x:c>
      <x:c r="F28" s="43" t="str">
        <x:v>MEOwner</x:v>
      </x:c>
      <x:c r="G28" s="51" t="n">
        <x:v>46326</x:v>
      </x:c>
      <x:c r="H28" s="43" t="str">
        <x:v>Pending</x:v>
      </x:c>
      <x:c r="I28" s="43" t="str"/>
      <x:c r="J28" s="43" t="str"/>
      <x:c r="K28" s="43" t="str"/>
      <x:c r="L28" s="43" t="str"/>
      <x:c r="M28" s="41"/>
      <x:c r="N28" s="41"/>
      <x:c r="O28" s="41"/>
      <x:c r="P28" s="41"/>
      <x:c r="Q28" s="41"/>
      <x:c r="R28" s="41"/>
      <x:c r="S28" s="41"/>
      <x:c r="T28" s="41"/>
      <x:c r="U28" s="41"/>
      <x:c r="V28" s="41"/>
      <x:c r="W28" s="41"/>
      <x:c r="X28" s="41"/>
      <x:c r="Y28" s="41"/>
      <x:c r="Z28" s="41"/>
    </x:row>
    <x:row r="29">
      <x:c r="A29" s="43" t="str">
        <x:v>TGH-ASSURE-2026-Q3</x:v>
      </x:c>
      <x:c r="B29" s="43" t="n">
        <x:v>25</x:v>
      </x:c>
      <x:c r="C29" s="43" t="str">
        <x:v>CTRL-MM-36-2</x:v>
      </x:c>
      <x:c r="D29" s="43" t="str">
        <x:v>MM.36.2</x:v>
      </x:c>
      <x:c r="E29" s="54" t="b">
        <x:v>1</x:v>
      </x:c>
      <x:c r="F29" s="43" t="str">
        <x:v>MEOwner</x:v>
      </x:c>
      <x:c r="G29" s="51" t="n">
        <x:v>46326</x:v>
      </x:c>
      <x:c r="H29" s="43" t="str">
        <x:v>Pending</x:v>
      </x:c>
      <x:c r="I29" s="43" t="str"/>
      <x:c r="J29" s="43" t="str"/>
      <x:c r="K29" s="43" t="str"/>
      <x:c r="L29" s="43" t="str"/>
      <x:c r="M29" s="41"/>
      <x:c r="N29" s="41"/>
      <x:c r="O29" s="41"/>
      <x:c r="P29" s="41"/>
      <x:c r="Q29" s="41"/>
      <x:c r="R29" s="41"/>
      <x:c r="S29" s="41"/>
      <x:c r="T29" s="41"/>
      <x:c r="U29" s="41"/>
      <x:c r="V29" s="41"/>
      <x:c r="W29" s="41"/>
      <x:c r="X29" s="41"/>
      <x:c r="Y29" s="41"/>
      <x:c r="Z29" s="41"/>
    </x:row>
    <x:row r="30">
      <x:c r="A30" s="43" t="str">
        <x:v>TGH-ASSURE-2026-Q3</x:v>
      </x:c>
      <x:c r="B30" s="43" t="n">
        <x:v>26</x:v>
      </x:c>
      <x:c r="C30" s="43" t="str">
        <x:v>CTRL-MM-36-3</x:v>
      </x:c>
      <x:c r="D30" s="43" t="str">
        <x:v>MM.36.3</x:v>
      </x:c>
      <x:c r="E30" s="54" t="b">
        <x:v>1</x:v>
      </x:c>
      <x:c r="F30" s="43" t="str">
        <x:v>MEOwner</x:v>
      </x:c>
      <x:c r="G30" s="51" t="n">
        <x:v>46326</x:v>
      </x:c>
      <x:c r="H30" s="43" t="str">
        <x:v>Pending</x:v>
      </x:c>
      <x:c r="I30" s="43" t="str"/>
      <x:c r="J30" s="43" t="str"/>
      <x:c r="K30" s="43" t="str"/>
      <x:c r="L30" s="43" t="str"/>
      <x:c r="M30" s="41"/>
      <x:c r="N30" s="41"/>
      <x:c r="O30" s="41"/>
      <x:c r="P30" s="41"/>
      <x:c r="Q30" s="41"/>
      <x:c r="R30" s="41"/>
      <x:c r="S30" s="41"/>
      <x:c r="T30" s="41"/>
      <x:c r="U30" s="41"/>
      <x:c r="V30" s="41"/>
      <x:c r="W30" s="41"/>
      <x:c r="X30" s="41"/>
      <x:c r="Y30" s="41"/>
      <x:c r="Z30" s="41"/>
    </x:row>
    <x:row r="31">
      <x:c r="A31" s="43" t="str">
        <x:v>TGH-ASSURE-2026-Q3</x:v>
      </x:c>
      <x:c r="B31" s="43" t="n">
        <x:v>27</x:v>
      </x:c>
      <x:c r="C31" s="43" t="str">
        <x:v>CTRL-MM-36-5</x:v>
      </x:c>
      <x:c r="D31" s="43" t="str">
        <x:v>MM.36.5</x:v>
      </x:c>
      <x:c r="E31" s="54" t="b">
        <x:v>1</x:v>
      </x:c>
      <x:c r="F31" s="43" t="str">
        <x:v>MEOwner</x:v>
      </x:c>
      <x:c r="G31" s="51" t="n">
        <x:v>46326</x:v>
      </x:c>
      <x:c r="H31" s="43" t="str">
        <x:v>Pending</x:v>
      </x:c>
      <x:c r="I31" s="43" t="str"/>
      <x:c r="J31" s="43" t="str"/>
      <x:c r="K31" s="43" t="str"/>
      <x:c r="L31" s="43" t="str"/>
      <x:c r="M31" s="41"/>
      <x:c r="N31" s="41"/>
      <x:c r="O31" s="41"/>
      <x:c r="P31" s="41"/>
      <x:c r="Q31" s="41"/>
      <x:c r="R31" s="41"/>
      <x:c r="S31" s="41"/>
      <x:c r="T31" s="41"/>
      <x:c r="U31" s="41"/>
      <x:c r="V31" s="41"/>
      <x:c r="W31" s="41"/>
      <x:c r="X31" s="41"/>
      <x:c r="Y31" s="41"/>
      <x:c r="Z31" s="41"/>
    </x:row>
    <x:row r="32">
      <x:c r="A32" s="43" t="str">
        <x:v>TGH-ASSURE-2026-Q3</x:v>
      </x:c>
      <x:c r="B32" s="43" t="n">
        <x:v>28</x:v>
      </x:c>
      <x:c r="C32" s="43" t="str">
        <x:v>CTRL-MM-36-7</x:v>
      </x:c>
      <x:c r="D32" s="43" t="str">
        <x:v>MM.36.7</x:v>
      </x:c>
      <x:c r="E32" s="54" t="b">
        <x:v>1</x:v>
      </x:c>
      <x:c r="F32" s="43" t="str">
        <x:v>MEOwner</x:v>
      </x:c>
      <x:c r="G32" s="51" t="n">
        <x:v>46326</x:v>
      </x:c>
      <x:c r="H32" s="43" t="str">
        <x:v>Pending</x:v>
      </x:c>
      <x:c r="I32" s="43" t="str"/>
      <x:c r="J32" s="43" t="str"/>
      <x:c r="K32" s="43" t="str"/>
      <x:c r="L32" s="43" t="str"/>
      <x:c r="M32" s="41"/>
      <x:c r="N32" s="41"/>
      <x:c r="O32" s="41"/>
      <x:c r="P32" s="41"/>
      <x:c r="Q32" s="41"/>
      <x:c r="R32" s="41"/>
      <x:c r="S32" s="41"/>
      <x:c r="T32" s="41"/>
      <x:c r="U32" s="41"/>
      <x:c r="V32" s="41"/>
      <x:c r="W32" s="41"/>
      <x:c r="X32" s="41"/>
      <x:c r="Y32" s="41"/>
      <x:c r="Z32" s="41"/>
    </x:row>
    <x:row r="33">
      <x:c r="A33" s="43" t="str">
        <x:v>TGH-ASSURE-2026-Q3</x:v>
      </x:c>
      <x:c r="B33" s="43" t="n">
        <x:v>29</x:v>
      </x:c>
      <x:c r="C33" s="43" t="str">
        <x:v>CTRL-MM-36-8</x:v>
      </x:c>
      <x:c r="D33" s="43" t="str">
        <x:v>MM.36.8</x:v>
      </x:c>
      <x:c r="E33" s="54" t="b">
        <x:v>1</x:v>
      </x:c>
      <x:c r="F33" s="43" t="str">
        <x:v>MEOwner</x:v>
      </x:c>
      <x:c r="G33" s="51" t="n">
        <x:v>46326</x:v>
      </x:c>
      <x:c r="H33" s="43" t="str">
        <x:v>Pending</x:v>
      </x:c>
      <x:c r="I33" s="43" t="str"/>
      <x:c r="J33" s="43" t="str"/>
      <x:c r="K33" s="43" t="str"/>
      <x:c r="L33" s="43" t="str"/>
      <x:c r="M33" s="41"/>
      <x:c r="N33" s="41"/>
      <x:c r="O33" s="41"/>
      <x:c r="P33" s="41"/>
      <x:c r="Q33" s="41"/>
      <x:c r="R33" s="41"/>
      <x:c r="S33" s="41"/>
      <x:c r="T33" s="41"/>
      <x:c r="U33" s="41"/>
      <x:c r="V33" s="41"/>
      <x:c r="W33" s="41"/>
      <x:c r="X33" s="41"/>
      <x:c r="Y33" s="41"/>
      <x:c r="Z33" s="41"/>
    </x:row>
    <x:row r="34">
      <x:c r="A34" s="43" t="str">
        <x:v>TGH-ASSURE-2026-Q3</x:v>
      </x:c>
      <x:c r="B34" s="43" t="n">
        <x:v>30</x:v>
      </x:c>
      <x:c r="C34" s="43" t="str">
        <x:v>CTRL-MM-37-1</x:v>
      </x:c>
      <x:c r="D34" s="43" t="str">
        <x:v>MM.37.1</x:v>
      </x:c>
      <x:c r="E34" s="54" t="b">
        <x:v>1</x:v>
      </x:c>
      <x:c r="F34" s="43" t="str">
        <x:v>MEOwner</x:v>
      </x:c>
      <x:c r="G34" s="51" t="n">
        <x:v>46326</x:v>
      </x:c>
      <x:c r="H34" s="43" t="str">
        <x:v>Pending</x:v>
      </x:c>
      <x:c r="I34" s="43" t="str"/>
      <x:c r="J34" s="43" t="str"/>
      <x:c r="K34" s="43" t="str"/>
      <x:c r="L34" s="43" t="str"/>
      <x:c r="M34" s="41"/>
      <x:c r="N34" s="41"/>
      <x:c r="O34" s="41"/>
      <x:c r="P34" s="41"/>
      <x:c r="Q34" s="41"/>
      <x:c r="R34" s="41"/>
      <x:c r="S34" s="41"/>
      <x:c r="T34" s="41"/>
      <x:c r="U34" s="41"/>
      <x:c r="V34" s="41"/>
      <x:c r="W34" s="41"/>
      <x:c r="X34" s="41"/>
      <x:c r="Y34" s="41"/>
      <x:c r="Z34" s="41"/>
    </x:row>
    <x:row r="35">
      <x:c r="A35" s="43" t="str">
        <x:v>TGH-ASSURE-2026-Q3</x:v>
      </x:c>
      <x:c r="B35" s="43" t="n">
        <x:v>31</x:v>
      </x:c>
      <x:c r="C35" s="43" t="str">
        <x:v>CTRL-MM-37-2</x:v>
      </x:c>
      <x:c r="D35" s="43" t="str">
        <x:v>MM.37.2</x:v>
      </x:c>
      <x:c r="E35" s="54" t="b">
        <x:v>1</x:v>
      </x:c>
      <x:c r="F35" s="43" t="str">
        <x:v>MEOwner</x:v>
      </x:c>
      <x:c r="G35" s="51" t="n">
        <x:v>46326</x:v>
      </x:c>
      <x:c r="H35" s="43" t="str">
        <x:v>Pending</x:v>
      </x:c>
      <x:c r="I35" s="43" t="str"/>
      <x:c r="J35" s="43" t="str"/>
      <x:c r="K35" s="43" t="str"/>
      <x:c r="L35" s="43" t="str"/>
      <x:c r="M35" s="41"/>
      <x:c r="N35" s="41"/>
      <x:c r="O35" s="41"/>
      <x:c r="P35" s="41"/>
      <x:c r="Q35" s="41"/>
      <x:c r="R35" s="41"/>
      <x:c r="S35" s="41"/>
      <x:c r="T35" s="41"/>
      <x:c r="U35" s="41"/>
      <x:c r="V35" s="41"/>
      <x:c r="W35" s="41"/>
      <x:c r="X35" s="41"/>
      <x:c r="Y35" s="41"/>
      <x:c r="Z35" s="41"/>
    </x:row>
    <x:row r="36">
      <x:c r="A36" s="43" t="str">
        <x:v>TGH-ASSURE-2026-Q3</x:v>
      </x:c>
      <x:c r="B36" s="43" t="n">
        <x:v>32</x:v>
      </x:c>
      <x:c r="C36" s="43" t="str">
        <x:v>CTRL-MM-37-7</x:v>
      </x:c>
      <x:c r="D36" s="43" t="str">
        <x:v>MM.37.7</x:v>
      </x:c>
      <x:c r="E36" s="54" t="b">
        <x:v>1</x:v>
      </x:c>
      <x:c r="F36" s="43" t="str">
        <x:v>MEOwner</x:v>
      </x:c>
      <x:c r="G36" s="51" t="n">
        <x:v>46326</x:v>
      </x:c>
      <x:c r="H36" s="43" t="str">
        <x:v>Pending</x:v>
      </x:c>
      <x:c r="I36" s="43" t="str"/>
      <x:c r="J36" s="43" t="str"/>
      <x:c r="K36" s="43" t="str"/>
      <x:c r="L36" s="43" t="str"/>
      <x:c r="M36" s="41"/>
      <x:c r="N36" s="41"/>
      <x:c r="O36" s="41"/>
      <x:c r="P36" s="41"/>
      <x:c r="Q36" s="41"/>
      <x:c r="R36" s="41"/>
      <x:c r="S36" s="41"/>
      <x:c r="T36" s="41"/>
      <x:c r="U36" s="41"/>
      <x:c r="V36" s="41"/>
      <x:c r="W36" s="41"/>
      <x:c r="X36" s="41"/>
      <x:c r="Y36" s="41"/>
      <x:c r="Z36" s="41"/>
    </x:row>
    <x:row r="37">
      <x:c r="A37" s="43" t="str">
        <x:v>TGH-ASSURE-2026-Q3</x:v>
      </x:c>
      <x:c r="B37" s="43" t="n">
        <x:v>33</x:v>
      </x:c>
      <x:c r="C37" s="43" t="str">
        <x:v>CTRL-MM-38-2</x:v>
      </x:c>
      <x:c r="D37" s="43" t="str">
        <x:v>MM.38.2</x:v>
      </x:c>
      <x:c r="E37" s="54" t="b">
        <x:v>1</x:v>
      </x:c>
      <x:c r="F37" s="43" t="str">
        <x:v>MEOwner</x:v>
      </x:c>
      <x:c r="G37" s="51" t="n">
        <x:v>46326</x:v>
      </x:c>
      <x:c r="H37" s="43" t="str">
        <x:v>Pending</x:v>
      </x:c>
      <x:c r="I37" s="43" t="str"/>
      <x:c r="J37" s="43" t="str"/>
      <x:c r="K37" s="43" t="str"/>
      <x:c r="L37" s="43" t="str"/>
      <x:c r="M37" s="41"/>
      <x:c r="N37" s="41"/>
      <x:c r="O37" s="41"/>
      <x:c r="P37" s="41"/>
      <x:c r="Q37" s="41"/>
      <x:c r="R37" s="41"/>
      <x:c r="S37" s="41"/>
      <x:c r="T37" s="41"/>
      <x:c r="U37" s="41"/>
      <x:c r="V37" s="41"/>
      <x:c r="W37" s="41"/>
      <x:c r="X37" s="41"/>
      <x:c r="Y37" s="41"/>
      <x:c r="Z37" s="41"/>
    </x:row>
    <x:row r="38">
      <x:c r="A38" s="43" t="str">
        <x:v>TGH-ASSURE-2026-Q3</x:v>
      </x:c>
      <x:c r="B38" s="43" t="n">
        <x:v>34</x:v>
      </x:c>
      <x:c r="C38" s="43" t="str">
        <x:v>CTRL-MM-39-4</x:v>
      </x:c>
      <x:c r="D38" s="43" t="str">
        <x:v>MM.39.4</x:v>
      </x:c>
      <x:c r="E38" s="54" t="b">
        <x:v>1</x:v>
      </x:c>
      <x:c r="F38" s="43" t="str">
        <x:v>MEOwner</x:v>
      </x:c>
      <x:c r="G38" s="51" t="n">
        <x:v>46326</x:v>
      </x:c>
      <x:c r="H38" s="43" t="str">
        <x:v>Pending</x:v>
      </x:c>
      <x:c r="I38" s="43" t="str"/>
      <x:c r="J38" s="43" t="str"/>
      <x:c r="K38" s="43" t="str"/>
      <x:c r="L38" s="43" t="str"/>
      <x:c r="M38" s="41"/>
      <x:c r="N38" s="41"/>
      <x:c r="O38" s="41"/>
      <x:c r="P38" s="41"/>
      <x:c r="Q38" s="41"/>
      <x:c r="R38" s="41"/>
      <x:c r="S38" s="41"/>
      <x:c r="T38" s="41"/>
      <x:c r="U38" s="41"/>
      <x:c r="V38" s="41"/>
      <x:c r="W38" s="41"/>
      <x:c r="X38" s="41"/>
      <x:c r="Y38" s="41"/>
      <x:c r="Z38" s="41"/>
    </x:row>
    <x:row r="39">
      <x:c r="A39" s="43" t="str">
        <x:v>TGH-ASSURE-2026-Q3</x:v>
      </x:c>
      <x:c r="B39" s="43" t="n">
        <x:v>35</x:v>
      </x:c>
      <x:c r="C39" s="43" t="str">
        <x:v>CTRL-MM-40-4</x:v>
      </x:c>
      <x:c r="D39" s="43" t="str">
        <x:v>MM.40.4</x:v>
      </x:c>
      <x:c r="E39" s="54" t="b">
        <x:v>1</x:v>
      </x:c>
      <x:c r="F39" s="43" t="str">
        <x:v>MEOwner</x:v>
      </x:c>
      <x:c r="G39" s="51" t="n">
        <x:v>46326</x:v>
      </x:c>
      <x:c r="H39" s="43" t="str">
        <x:v>Pending</x:v>
      </x:c>
      <x:c r="I39" s="43" t="str"/>
      <x:c r="J39" s="43" t="str"/>
      <x:c r="K39" s="43" t="str"/>
      <x:c r="L39" s="43" t="str"/>
      <x:c r="M39" s="41"/>
      <x:c r="N39" s="41"/>
      <x:c r="O39" s="41"/>
      <x:c r="P39" s="41"/>
      <x:c r="Q39" s="41"/>
      <x:c r="R39" s="41"/>
      <x:c r="S39" s="41"/>
      <x:c r="T39" s="41"/>
      <x:c r="U39" s="41"/>
      <x:c r="V39" s="41"/>
      <x:c r="W39" s="41"/>
      <x:c r="X39" s="41"/>
      <x:c r="Y39" s="41"/>
      <x:c r="Z39" s="41"/>
    </x:row>
    <x:row r="40">
      <x:c r="A40" s="43" t="str">
        <x:v>TGH-ASSURE-2026-Q3</x:v>
      </x:c>
      <x:c r="B40" s="43" t="n">
        <x:v>36</x:v>
      </x:c>
      <x:c r="C40" s="43" t="str">
        <x:v>CTRL-MM-40-9</x:v>
      </x:c>
      <x:c r="D40" s="43" t="str">
        <x:v>MM.40.9</x:v>
      </x:c>
      <x:c r="E40" s="54" t="b">
        <x:v>1</x:v>
      </x:c>
      <x:c r="F40" s="43" t="str">
        <x:v>MEOwner</x:v>
      </x:c>
      <x:c r="G40" s="51" t="n">
        <x:v>46326</x:v>
      </x:c>
      <x:c r="H40" s="43" t="str">
        <x:v>Pending</x:v>
      </x:c>
      <x:c r="I40" s="43" t="str"/>
      <x:c r="J40" s="43" t="str"/>
      <x:c r="K40" s="43" t="str"/>
      <x:c r="L40" s="43" t="str"/>
      <x:c r="M40" s="41"/>
      <x:c r="N40" s="41"/>
      <x:c r="O40" s="41"/>
      <x:c r="P40" s="41"/>
      <x:c r="Q40" s="41"/>
      <x:c r="R40" s="41"/>
      <x:c r="S40" s="41"/>
      <x:c r="T40" s="41"/>
      <x:c r="U40" s="41"/>
      <x:c r="V40" s="41"/>
      <x:c r="W40" s="41"/>
      <x:c r="X40" s="41"/>
      <x:c r="Y40" s="41"/>
      <x:c r="Z40" s="41"/>
    </x:row>
    <x:row r="41">
      <x:c r="A41" s="43" t="str">
        <x:v>TGH-ASSURE-2026-Q3</x:v>
      </x:c>
      <x:c r="B41" s="43" t="n">
        <x:v>37</x:v>
      </x:c>
      <x:c r="C41" s="43" t="str">
        <x:v>CTRL-MM-41-1</x:v>
      </x:c>
      <x:c r="D41" s="43" t="str">
        <x:v>MM.41.1</x:v>
      </x:c>
      <x:c r="E41" s="54" t="b">
        <x:v>1</x:v>
      </x:c>
      <x:c r="F41" s="43" t="str">
        <x:v>MedicationSafety</x:v>
      </x:c>
      <x:c r="G41" s="51" t="n">
        <x:v>46326</x:v>
      </x:c>
      <x:c r="H41" s="43" t="str">
        <x:v>Pending</x:v>
      </x:c>
      <x:c r="I41" s="43" t="str"/>
      <x:c r="J41" s="43" t="str"/>
      <x:c r="K41" s="43" t="str"/>
      <x:c r="L41" s="43" t="str"/>
      <x:c r="M41" s="41"/>
      <x:c r="N41" s="41"/>
      <x:c r="O41" s="41"/>
      <x:c r="P41" s="41"/>
      <x:c r="Q41" s="41"/>
      <x:c r="R41" s="41"/>
      <x:c r="S41" s="41"/>
      <x:c r="T41" s="41"/>
      <x:c r="U41" s="41"/>
      <x:c r="V41" s="41"/>
      <x:c r="W41" s="41"/>
      <x:c r="X41" s="41"/>
      <x:c r="Y41" s="41"/>
      <x:c r="Z41" s="41"/>
    </x:row>
    <x:row r="42">
      <x:c r="A42" s="43" t="str">
        <x:v>TGH-ASSURE-2026-Q3</x:v>
      </x:c>
      <x:c r="B42" s="43" t="n">
        <x:v>38</x:v>
      </x:c>
      <x:c r="C42" s="43" t="str">
        <x:v>CTRL-MM-41-2</x:v>
      </x:c>
      <x:c r="D42" s="43" t="str">
        <x:v>MM.41.2</x:v>
      </x:c>
      <x:c r="E42" s="54" t="b">
        <x:v>1</x:v>
      </x:c>
      <x:c r="F42" s="43" t="str">
        <x:v>MedicationSafety</x:v>
      </x:c>
      <x:c r="G42" s="51" t="n">
        <x:v>46326</x:v>
      </x:c>
      <x:c r="H42" s="43" t="str">
        <x:v>Pending</x:v>
      </x:c>
      <x:c r="I42" s="43" t="str"/>
      <x:c r="J42" s="43" t="str"/>
      <x:c r="K42" s="43" t="str"/>
      <x:c r="L42" s="43" t="str"/>
      <x:c r="M42" s="41"/>
      <x:c r="N42" s="41"/>
      <x:c r="O42" s="41"/>
      <x:c r="P42" s="41"/>
      <x:c r="Q42" s="41"/>
      <x:c r="R42" s="41"/>
      <x:c r="S42" s="41"/>
      <x:c r="T42" s="41"/>
      <x:c r="U42" s="41"/>
      <x:c r="V42" s="41"/>
      <x:c r="W42" s="41"/>
      <x:c r="X42" s="41"/>
      <x:c r="Y42" s="41"/>
      <x:c r="Z42" s="41"/>
    </x:row>
    <x:row r="43">
      <x:c r="A43" s="43" t="str">
        <x:v>TGH-ASSURE-2026-Q3</x:v>
      </x:c>
      <x:c r="B43" s="43" t="n">
        <x:v>39</x:v>
      </x:c>
      <x:c r="C43" s="43" t="str">
        <x:v>CTRL-MM-41-3</x:v>
      </x:c>
      <x:c r="D43" s="43" t="str">
        <x:v>MM.41.3</x:v>
      </x:c>
      <x:c r="E43" s="54" t="b">
        <x:v>1</x:v>
      </x:c>
      <x:c r="F43" s="43" t="str">
        <x:v>MedicationSafety</x:v>
      </x:c>
      <x:c r="G43" s="51" t="n">
        <x:v>46326</x:v>
      </x:c>
      <x:c r="H43" s="43" t="str">
        <x:v>Pending</x:v>
      </x:c>
      <x:c r="I43" s="43" t="str"/>
      <x:c r="J43" s="43" t="str"/>
      <x:c r="K43" s="43" t="str"/>
      <x:c r="L43" s="43" t="str"/>
      <x:c r="M43" s="41"/>
      <x:c r="N43" s="41"/>
      <x:c r="O43" s="41"/>
      <x:c r="P43" s="41"/>
      <x:c r="Q43" s="41"/>
      <x:c r="R43" s="41"/>
      <x:c r="S43" s="41"/>
      <x:c r="T43" s="41"/>
      <x:c r="U43" s="41"/>
      <x:c r="V43" s="41"/>
      <x:c r="W43" s="41"/>
      <x:c r="X43" s="41"/>
      <x:c r="Y43" s="41"/>
      <x:c r="Z43" s="41"/>
    </x:row>
    <x:row r="44">
      <x:c r="A44" s="43" t="str">
        <x:v>TGH-ASSURE-2026-Q3</x:v>
      </x:c>
      <x:c r="B44" s="43" t="n">
        <x:v>40</x:v>
      </x:c>
      <x:c r="C44" s="43" t="str">
        <x:v>CTRL-MM-41-4</x:v>
      </x:c>
      <x:c r="D44" s="43" t="str">
        <x:v>MM.41.4</x:v>
      </x:c>
      <x:c r="E44" s="54" t="b">
        <x:v>1</x:v>
      </x:c>
      <x:c r="F44" s="43" t="str">
        <x:v>MedicationSafety</x:v>
      </x:c>
      <x:c r="G44" s="51" t="n">
        <x:v>46326</x:v>
      </x:c>
      <x:c r="H44" s="43" t="str">
        <x:v>Pending</x:v>
      </x:c>
      <x:c r="I44" s="43" t="str"/>
      <x:c r="J44" s="43" t="str"/>
      <x:c r="K44" s="43" t="str"/>
      <x:c r="L44" s="43" t="str"/>
      <x:c r="M44" s="41"/>
      <x:c r="N44" s="41"/>
      <x:c r="O44" s="41"/>
      <x:c r="P44" s="41"/>
      <x:c r="Q44" s="41"/>
      <x:c r="R44" s="41"/>
      <x:c r="S44" s="41"/>
      <x:c r="T44" s="41"/>
      <x:c r="U44" s="41"/>
      <x:c r="V44" s="41"/>
      <x:c r="W44" s="41"/>
      <x:c r="X44" s="41"/>
      <x:c r="Y44" s="41"/>
      <x:c r="Z44" s="41"/>
    </x:row>
    <x:row r="45">
      <x:c r="A45" s="43" t="str">
        <x:v>TGH-ASSURE-2026-Q3</x:v>
      </x:c>
      <x:c r="B45" s="43" t="n">
        <x:v>41</x:v>
      </x:c>
      <x:c r="C45" s="43" t="str">
        <x:v>CTRL-MM-41-5</x:v>
      </x:c>
      <x:c r="D45" s="43" t="str">
        <x:v>MM.41.5</x:v>
      </x:c>
      <x:c r="E45" s="54" t="b">
        <x:v>1</x:v>
      </x:c>
      <x:c r="F45" s="43" t="str">
        <x:v>MedicationSafety</x:v>
      </x:c>
      <x:c r="G45" s="51" t="n">
        <x:v>46326</x:v>
      </x:c>
      <x:c r="H45" s="43" t="str">
        <x:v>Pending</x:v>
      </x:c>
      <x:c r="I45" s="43" t="str"/>
      <x:c r="J45" s="43" t="str"/>
      <x:c r="K45" s="43" t="str"/>
      <x:c r="L45" s="43" t="str"/>
      <x:c r="M45" s="41"/>
      <x:c r="N45" s="41"/>
      <x:c r="O45" s="41"/>
      <x:c r="P45" s="41"/>
      <x:c r="Q45" s="41"/>
      <x:c r="R45" s="41"/>
      <x:c r="S45" s="41"/>
      <x:c r="T45" s="41"/>
      <x:c r="U45" s="41"/>
      <x:c r="V45" s="41"/>
      <x:c r="W45" s="41"/>
      <x:c r="X45" s="41"/>
      <x:c r="Y45" s="41"/>
      <x:c r="Z45" s="41"/>
    </x:row>
    <x:row r="46">
      <x:c r="A46" s="43" t="str">
        <x:v>TGH-ASSURE-2026-Q3</x:v>
      </x:c>
      <x:c r="B46" s="43" t="n">
        <x:v>42</x:v>
      </x:c>
      <x:c r="C46" s="43" t="str">
        <x:v>CTRL-MM-41-6</x:v>
      </x:c>
      <x:c r="D46" s="43" t="str">
        <x:v>MM.41.6</x:v>
      </x:c>
      <x:c r="E46" s="54" t="b">
        <x:v>1</x:v>
      </x:c>
      <x:c r="F46" s="43" t="str">
        <x:v>MedicationSafety</x:v>
      </x:c>
      <x:c r="G46" s="51" t="n">
        <x:v>46326</x:v>
      </x:c>
      <x:c r="H46" s="43" t="str">
        <x:v>Pending</x:v>
      </x:c>
      <x:c r="I46" s="43" t="str"/>
      <x:c r="J46" s="43" t="str"/>
      <x:c r="K46" s="43" t="str"/>
      <x:c r="L46" s="43" t="str"/>
      <x:c r="M46" s="41"/>
      <x:c r="N46" s="41"/>
      <x:c r="O46" s="41"/>
      <x:c r="P46" s="41"/>
      <x:c r="Q46" s="41"/>
      <x:c r="R46" s="41"/>
      <x:c r="S46" s="41"/>
      <x:c r="T46" s="41"/>
      <x:c r="U46" s="41"/>
      <x:c r="V46" s="41"/>
      <x:c r="W46" s="41"/>
      <x:c r="X46" s="41"/>
      <x:c r="Y46" s="41"/>
      <x:c r="Z46" s="41"/>
    </x:row>
    <x:row r="47">
      <x:c r="A47" s="43" t="str">
        <x:v>TGH-ASSURE-2026-Q3</x:v>
      </x:c>
      <x:c r="B47" s="43" t="n">
        <x:v>43</x:v>
      </x:c>
      <x:c r="C47" s="43" t="str">
        <x:v>CTRL-MM-41-7</x:v>
      </x:c>
      <x:c r="D47" s="43" t="str">
        <x:v>MM.41.7</x:v>
      </x:c>
      <x:c r="E47" s="54" t="b">
        <x:v>1</x:v>
      </x:c>
      <x:c r="F47" s="43" t="str">
        <x:v>MedicationSafety</x:v>
      </x:c>
      <x:c r="G47" s="51" t="n">
        <x:v>46326</x:v>
      </x:c>
      <x:c r="H47" s="43" t="str">
        <x:v>Pending</x:v>
      </x:c>
      <x:c r="I47" s="43" t="str"/>
      <x:c r="J47" s="43" t="str"/>
      <x:c r="K47" s="43" t="str"/>
      <x:c r="L47" s="43" t="str"/>
      <x:c r="M47" s="41"/>
      <x:c r="N47" s="41"/>
      <x:c r="O47" s="41"/>
      <x:c r="P47" s="41"/>
      <x:c r="Q47" s="41"/>
      <x:c r="R47" s="41"/>
      <x:c r="S47" s="41"/>
      <x:c r="T47" s="41"/>
      <x:c r="U47" s="41"/>
      <x:c r="V47" s="41"/>
      <x:c r="W47" s="41"/>
      <x:c r="X47" s="41"/>
      <x:c r="Y47" s="41"/>
      <x:c r="Z47" s="41"/>
    </x:row>
    <x:row r="48">
      <x:c r="A48" s="43" t="str">
        <x:v>TGH-ASSURE-2026-Q3</x:v>
      </x:c>
      <x:c r="B48" s="43" t="n">
        <x:v>44</x:v>
      </x:c>
      <x:c r="C48" s="43" t="str">
        <x:v>CTRL-MM-41-8</x:v>
      </x:c>
      <x:c r="D48" s="43" t="str">
        <x:v>MM.41.8</x:v>
      </x:c>
      <x:c r="E48" s="54" t="b">
        <x:v>1</x:v>
      </x:c>
      <x:c r="F48" s="43" t="str">
        <x:v>MedicationSafety</x:v>
      </x:c>
      <x:c r="G48" s="51" t="n">
        <x:v>46326</x:v>
      </x:c>
      <x:c r="H48" s="43" t="str">
        <x:v>Pending</x:v>
      </x:c>
      <x:c r="I48" s="43" t="str"/>
      <x:c r="J48" s="43" t="str"/>
      <x:c r="K48" s="43" t="str"/>
      <x:c r="L48" s="43" t="str"/>
      <x:c r="M48" s="41"/>
      <x:c r="N48" s="41"/>
      <x:c r="O48" s="41"/>
      <x:c r="P48" s="41"/>
      <x:c r="Q48" s="41"/>
      <x:c r="R48" s="41"/>
      <x:c r="S48" s="41"/>
      <x:c r="T48" s="41"/>
      <x:c r="U48" s="41"/>
      <x:c r="V48" s="41"/>
      <x:c r="W48" s="41"/>
      <x:c r="X48" s="41"/>
      <x:c r="Y48" s="41"/>
      <x:c r="Z48" s="41"/>
    </x:row>
    <x:row r="49">
      <x:c r="A49" s="43" t="str">
        <x:v>TGH-ASSURE-2026-Q3</x:v>
      </x:c>
      <x:c r="B49" s="43" t="n">
        <x:v>45</x:v>
      </x:c>
      <x:c r="C49" s="43" t="str">
        <x:v>CTRL-MM-41-9</x:v>
      </x:c>
      <x:c r="D49" s="43" t="str">
        <x:v>MM.41.9</x:v>
      </x:c>
      <x:c r="E49" s="54" t="b">
        <x:v>1</x:v>
      </x:c>
      <x:c r="F49" s="43" t="str">
        <x:v>MedicationSafety</x:v>
      </x:c>
      <x:c r="G49" s="51" t="n">
        <x:v>46326</x:v>
      </x:c>
      <x:c r="H49" s="43" t="str">
        <x:v>Pending</x:v>
      </x:c>
      <x:c r="I49" s="43" t="str"/>
      <x:c r="J49" s="43" t="str"/>
      <x:c r="K49" s="43" t="str"/>
      <x:c r="L49" s="43" t="str"/>
      <x:c r="M49" s="41"/>
      <x:c r="N49" s="41"/>
      <x:c r="O49" s="41"/>
      <x:c r="P49" s="41"/>
      <x:c r="Q49" s="41"/>
      <x:c r="R49" s="41"/>
      <x:c r="S49" s="41"/>
      <x:c r="T49" s="41"/>
      <x:c r="U49" s="41"/>
      <x:c r="V49" s="41"/>
      <x:c r="W49" s="41"/>
      <x:c r="X49" s="41"/>
      <x:c r="Y49" s="41"/>
      <x:c r="Z49" s="41"/>
    </x:row>
    <x:row r="50">
      <x:c r="A50" s="43" t="str">
        <x:v>TGH-ASSURE-2026-Q3</x:v>
      </x:c>
      <x:c r="B50" s="43" t="n">
        <x:v>46</x:v>
      </x:c>
      <x:c r="C50" s="43" t="str">
        <x:v>CTRL-MM-41-10</x:v>
      </x:c>
      <x:c r="D50" s="43" t="str">
        <x:v>MM.41.10</x:v>
      </x:c>
      <x:c r="E50" s="54" t="b">
        <x:v>1</x:v>
      </x:c>
      <x:c r="F50" s="43" t="str">
        <x:v>MedicationSafety</x:v>
      </x:c>
      <x:c r="G50" s="51" t="n">
        <x:v>46326</x:v>
      </x:c>
      <x:c r="H50" s="43" t="str">
        <x:v>Pending</x:v>
      </x:c>
      <x:c r="I50" s="43" t="str"/>
      <x:c r="J50" s="43" t="str"/>
      <x:c r="K50" s="43" t="str"/>
      <x:c r="L50" s="43" t="str"/>
      <x:c r="M50" s="41"/>
      <x:c r="N50" s="41"/>
      <x:c r="O50" s="41"/>
      <x:c r="P50" s="41"/>
      <x:c r="Q50" s="41"/>
      <x:c r="R50" s="41"/>
      <x:c r="S50" s="41"/>
      <x:c r="T50" s="41"/>
      <x:c r="U50" s="41"/>
      <x:c r="V50" s="41"/>
      <x:c r="W50" s="41"/>
      <x:c r="X50" s="41"/>
      <x:c r="Y50" s="41"/>
      <x:c r="Z50" s="41"/>
    </x:row>
    <x:row r="51">
      <x:c r="A51" s="43" t="str">
        <x:v>TGH-ASSURE-2026-Q3</x:v>
      </x:c>
      <x:c r="B51" s="43" t="n">
        <x:v>47</x:v>
      </x:c>
      <x:c r="C51" s="43" t="str">
        <x:v>CTRL-MM-41-11</x:v>
      </x:c>
      <x:c r="D51" s="43" t="str">
        <x:v>MM.41.11</x:v>
      </x:c>
      <x:c r="E51" s="54" t="b">
        <x:v>1</x:v>
      </x:c>
      <x:c r="F51" s="43" t="str">
        <x:v>MedicationSafety</x:v>
      </x:c>
      <x:c r="G51" s="51" t="n">
        <x:v>46326</x:v>
      </x:c>
      <x:c r="H51" s="43" t="str">
        <x:v>Pending</x:v>
      </x:c>
      <x:c r="I51" s="43" t="str"/>
      <x:c r="J51" s="43" t="str"/>
      <x:c r="K51" s="43" t="str"/>
      <x:c r="L51" s="43" t="str"/>
      <x:c r="M51" s="41"/>
      <x:c r="N51" s="41"/>
      <x:c r="O51" s="41"/>
      <x:c r="P51" s="41"/>
      <x:c r="Q51" s="41"/>
      <x:c r="R51" s="41"/>
      <x:c r="S51" s="41"/>
      <x:c r="T51" s="41"/>
      <x:c r="U51" s="41"/>
      <x:c r="V51" s="41"/>
      <x:c r="W51" s="41"/>
      <x:c r="X51" s="41"/>
      <x:c r="Y51" s="41"/>
      <x:c r="Z51" s="41"/>
    </x:row>
    <x:row r="52">
      <x:c r="A52" s="43" t="str">
        <x:v>TGH-ASSURE-2026-Q3</x:v>
      </x:c>
      <x:c r="B52" s="43" t="n">
        <x:v>48</x:v>
      </x:c>
      <x:c r="C52" s="43" t="str">
        <x:v>CTRL-MM-41-12</x:v>
      </x:c>
      <x:c r="D52" s="43" t="str">
        <x:v>MM.41.12</x:v>
      </x:c>
      <x:c r="E52" s="54" t="b">
        <x:v>1</x:v>
      </x:c>
      <x:c r="F52" s="43" t="str">
        <x:v>MedicationSafety</x:v>
      </x:c>
      <x:c r="G52" s="51" t="n">
        <x:v>46326</x:v>
      </x:c>
      <x:c r="H52" s="43" t="str">
        <x:v>Pending</x:v>
      </x:c>
      <x:c r="I52" s="43" t="str"/>
      <x:c r="J52" s="43" t="str"/>
      <x:c r="K52" s="43" t="str"/>
      <x:c r="L52" s="43" t="str"/>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L2"/>
  </x:mergeCells>
  <x:conditionalFormatting sqref="I5:I52">
    <x:cfRule type="expression" dxfId="0" priority="1">
      <x:formula>I5="Fail"</x:formula>
    </x:cfRule>
    <x:cfRule type="expression" dxfId="1" priority="2">
      <x:formula>I5="Pass"</x:formula>
    </x:cfRule>
  </x:conditionalFormatting>
  <x:dataValidations count="2">
    <x:dataValidation type="list" sqref="H5:H52">
      <x:formula1>_Lists!$B$2:$B$5</x:formula1>
    </x:dataValidation>
    <x:dataValidation type="list" sqref="I5:I52">
      <x:formula1>_Lists!$C$2:$C$4</x:formula1>
    </x:dataValidation>
  </x:dataValidations>
  <x:pageMargins left="0.7" right="0.7" top="0.75" bottom="0.75" header="0.3" footer="0.3"/>
  <x:tableParts count="1">
    <x:tablePart xmlns:r="http://schemas.openxmlformats.org/officeDocument/2006/relationships" r:id="Rc9cd748f7c274145"/>
  </x:tableParts>
</x:worksheet>
</file>

<file path=xl/worksheets/sheet6.xml><?xml version="1.0" encoding="utf-8"?>
<x:worksheet xmlns:x="http://schemas.openxmlformats.org/spreadsheetml/2006/main">
  <x:sheetFormatPr defaultRowHeight="15"/>
  <x:cols>
    <x:col min="1" max="1" width="34" hidden="0" customWidth="1"/>
    <x:col min="2" max="2" width="45" hidden="0" customWidth="1"/>
    <x:col min="3" max="3" width="18" hidden="0" customWidth="1"/>
    <x:col min="4" max="4" width="10" hidden="0" customWidth="1"/>
    <x:col min="5" max="5" width="24" hidden="0" customWidth="1"/>
    <x:col min="6" max="6" width="10" hidden="0" customWidth="1"/>
    <x:col min="7" max="7" width="55" hidden="0" customWidth="1"/>
  </x:cols>
  <x:sheetData>
    <x:row r="1">
      <x:c r="A1" s="40" t="str">
        <x:v>قواعد جودة البيانات</x:v>
      </x:c>
      <x:c r="B1" s="40"/>
      <x:c r="C1" s="40"/>
      <x:c r="D1" s="40"/>
      <x:c r="E1" s="40"/>
      <x:c r="F1" s="40"/>
      <x:c r="G1" s="40"/>
      <x:c r="H1" s="41"/>
      <x:c r="I1" s="41"/>
      <x:c r="J1" s="41"/>
      <x:c r="K1" s="41"/>
      <x:c r="L1" s="41"/>
      <x:c r="M1" s="41"/>
      <x:c r="N1" s="41"/>
      <x:c r="O1" s="41"/>
      <x:c r="P1" s="41"/>
      <x:c r="Q1" s="41"/>
      <x:c r="R1" s="41"/>
      <x:c r="S1" s="41"/>
      <x:c r="T1" s="41"/>
      <x:c r="U1" s="41"/>
      <x:c r="V1" s="41"/>
      <x:c r="W1" s="41"/>
      <x:c r="X1" s="41"/>
      <x:c r="Y1" s="41"/>
      <x:c r="Z1" s="41"/>
    </x:row>
    <x:row r="2">
      <x:c r="A2" s="40"/>
      <x:c r="B2" s="40"/>
      <x:c r="C2" s="40"/>
      <x:c r="D2" s="40"/>
      <x:c r="E2" s="40"/>
      <x:c r="F2" s="40"/>
      <x:c r="G2" s="40"/>
      <x:c r="H2" s="41"/>
      <x:c r="I2" s="41"/>
      <x:c r="J2" s="41"/>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Rule Code</x:v>
      </x:c>
      <x:c r="B4" s="50" t="str">
        <x:v>Name</x:v>
      </x:c>
      <x:c r="C4" s="50" t="str">
        <x:v>Category</x:v>
      </x:c>
      <x:c r="D4" s="50" t="str">
        <x:v>Severity</x:v>
      </x:c>
      <x:c r="E4" s="50" t="str">
        <x:v>Owner Role</x:v>
      </x:c>
      <x:c r="F4" s="50" t="str">
        <x:v>Active</x:v>
      </x:c>
      <x:c r="G4" s="50" t="str">
        <x:v>Description</x:v>
      </x:c>
      <x:c r="H4" s="41"/>
      <x:c r="I4" s="41"/>
      <x:c r="J4" s="41"/>
      <x:c r="K4" s="41"/>
      <x:c r="L4" s="41"/>
      <x:c r="M4" s="41"/>
      <x:c r="N4" s="41"/>
      <x:c r="O4" s="41"/>
      <x:c r="P4" s="41"/>
      <x:c r="Q4" s="41"/>
      <x:c r="R4" s="41"/>
      <x:c r="S4" s="41"/>
      <x:c r="T4" s="41"/>
      <x:c r="U4" s="41"/>
      <x:c r="V4" s="41"/>
      <x:c r="W4" s="41"/>
      <x:c r="X4" s="41"/>
      <x:c r="Y4" s="41"/>
      <x:c r="Z4" s="41"/>
    </x:row>
    <x:row r="5">
      <x:c r="A5" s="43" t="str">
        <x:v>P0_CONTROL_MISSING</x:v>
      </x:c>
      <x:c r="B5" s="43" t="str">
        <x:v>غياب ضابط دوري لعنصر P0/ESR</x:v>
      </x:c>
      <x:c r="C5" s="43" t="str">
        <x:v>Assurance</x:v>
      </x:c>
      <x:c r="D5" s="43" t="str">
        <x:v>P0</x:v>
      </x:c>
      <x:c r="E5" s="43" t="str">
        <x:v>AccreditationLead</x:v>
      </x:c>
      <x:c r="F5" s="54" t="b">
        <x:v>1</x:v>
      </x:c>
      <x:c r="G5" s="43" t="str">
        <x:v>فحص آلي أوشبه آلي؛ لا يستبدل التحقق السريري أوالاعتمادي.</x:v>
      </x:c>
      <x:c r="H5" s="41"/>
      <x:c r="I5" s="41"/>
      <x:c r="J5" s="41"/>
      <x:c r="K5" s="41"/>
      <x:c r="L5" s="41"/>
      <x:c r="M5" s="41"/>
      <x:c r="N5" s="41"/>
      <x:c r="O5" s="41"/>
      <x:c r="P5" s="41"/>
      <x:c r="Q5" s="41"/>
      <x:c r="R5" s="41"/>
      <x:c r="S5" s="41"/>
      <x:c r="T5" s="41"/>
      <x:c r="U5" s="41"/>
      <x:c r="V5" s="41"/>
      <x:c r="W5" s="41"/>
      <x:c r="X5" s="41"/>
      <x:c r="Y5" s="41"/>
      <x:c r="Z5" s="41"/>
    </x:row>
    <x:row r="6">
      <x:c r="A6" s="43" t="str">
        <x:v>OVERDUE_ASSURANCE_CONTROL</x:v>
      </x:c>
      <x:c r="B6" s="43" t="str">
        <x:v>ضابط ضمان مستمر متأخر</x:v>
      </x:c>
      <x:c r="C6" s="43" t="str">
        <x:v>Assurance</x:v>
      </x:c>
      <x:c r="D6" s="43" t="str">
        <x:v>P1</x:v>
      </x:c>
      <x:c r="E6" s="43" t="str">
        <x:v>MEOwner</x:v>
      </x:c>
      <x:c r="F6" s="54" t="b">
        <x:v>1</x:v>
      </x:c>
      <x:c r="G6" s="43" t="str">
        <x:v>فحص آلي أوشبه آلي؛ لا يستبدل التحقق السريري أوالاعتمادي.</x:v>
      </x:c>
      <x:c r="H6" s="41"/>
      <x:c r="I6" s="41"/>
      <x:c r="J6" s="41"/>
      <x:c r="K6" s="41"/>
      <x:c r="L6" s="41"/>
      <x:c r="M6" s="41"/>
      <x:c r="N6" s="41"/>
      <x:c r="O6" s="41"/>
      <x:c r="P6" s="41"/>
      <x:c r="Q6" s="41"/>
      <x:c r="R6" s="41"/>
      <x:c r="S6" s="41"/>
      <x:c r="T6" s="41"/>
      <x:c r="U6" s="41"/>
      <x:c r="V6" s="41"/>
      <x:c r="W6" s="41"/>
      <x:c r="X6" s="41"/>
      <x:c r="Y6" s="41"/>
      <x:c r="Z6" s="41"/>
    </x:row>
    <x:row r="7">
      <x:c r="A7" s="43" t="str">
        <x:v>OVERDUE_FINDING</x:v>
      </x:c>
      <x:c r="B7" s="43" t="str">
        <x:v>Finding مفتوح ومتأخر</x:v>
      </x:c>
      <x:c r="C7" s="43" t="str">
        <x:v>CAPA</x:v>
      </x:c>
      <x:c r="D7" s="43" t="str">
        <x:v>P1</x:v>
      </x:c>
      <x:c r="E7" s="43" t="str">
        <x:v>CAPAOwner</x:v>
      </x:c>
      <x:c r="F7" s="54" t="b">
        <x:v>1</x:v>
      </x:c>
      <x:c r="G7" s="43" t="str">
        <x:v>فحص آلي أوشبه آلي؛ لا يستبدل التحقق السريري أوالاعتمادي.</x:v>
      </x:c>
      <x:c r="H7" s="41"/>
      <x:c r="I7" s="41"/>
      <x:c r="J7" s="41"/>
      <x:c r="K7" s="41"/>
      <x:c r="L7" s="41"/>
      <x:c r="M7" s="41"/>
      <x:c r="N7" s="41"/>
      <x:c r="O7" s="41"/>
      <x:c r="P7" s="41"/>
      <x:c r="Q7" s="41"/>
      <x:c r="R7" s="41"/>
      <x:c r="S7" s="41"/>
      <x:c r="T7" s="41"/>
      <x:c r="U7" s="41"/>
      <x:c r="V7" s="41"/>
      <x:c r="W7" s="41"/>
      <x:c r="X7" s="41"/>
      <x:c r="Y7" s="41"/>
      <x:c r="Z7" s="41"/>
    </x:row>
    <x:row r="8">
      <x:c r="A8" s="43" t="str">
        <x:v>OVERDUE_CAPA</x:v>
      </x:c>
      <x:c r="B8" s="43" t="str">
        <x:v>CAPA مفتوحة ومتأخرة</x:v>
      </x:c>
      <x:c r="C8" s="43" t="str">
        <x:v>CAPA</x:v>
      </x:c>
      <x:c r="D8" s="43" t="str">
        <x:v>P1</x:v>
      </x:c>
      <x:c r="E8" s="43" t="str">
        <x:v>CAPAOwner</x:v>
      </x:c>
      <x:c r="F8" s="54" t="b">
        <x:v>1</x:v>
      </x:c>
      <x:c r="G8" s="43" t="str">
        <x:v>فحص آلي أوشبه آلي؛ لا يستبدل التحقق السريري أوالاعتمادي.</x:v>
      </x:c>
      <x:c r="H8" s="41"/>
      <x:c r="I8" s="41"/>
      <x:c r="J8" s="41"/>
      <x:c r="K8" s="41"/>
      <x:c r="L8" s="41"/>
      <x:c r="M8" s="41"/>
      <x:c r="N8" s="41"/>
      <x:c r="O8" s="41"/>
      <x:c r="P8" s="41"/>
      <x:c r="Q8" s="41"/>
      <x:c r="R8" s="41"/>
      <x:c r="S8" s="41"/>
      <x:c r="T8" s="41"/>
      <x:c r="U8" s="41"/>
      <x:c r="V8" s="41"/>
      <x:c r="W8" s="41"/>
      <x:c r="X8" s="41"/>
      <x:c r="Y8" s="41"/>
      <x:c r="Z8" s="41"/>
    </x:row>
    <x:row r="9">
      <x:c r="A9" s="43" t="str">
        <x:v>DOCUMENT_REVIEW_OVERDUE</x:v>
      </x:c>
      <x:c r="B9" s="43" t="str">
        <x:v>مراجعة وثيقة فعالة أومعتمدة متأخرة</x:v>
      </x:c>
      <x:c r="C9" s="43" t="str">
        <x:v>Documents</x:v>
      </x:c>
      <x:c r="D9" s="43" t="str">
        <x:v>P2</x:v>
      </x:c>
      <x:c r="E9" s="43" t="str">
        <x:v>AccreditationLead</x:v>
      </x:c>
      <x:c r="F9" s="54" t="b">
        <x:v>1</x:v>
      </x:c>
      <x:c r="G9" s="43" t="str">
        <x:v>فحص آلي أوشبه آلي؛ لا يستبدل التحقق السريري أوالاعتمادي.</x:v>
      </x:c>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G2"/>
  </x:mergeCells>
  <x:pageMargins left="0.7" right="0.7" top="0.75" bottom="0.75" header="0.3" footer="0.3"/>
  <x:tableParts count="1">
    <x:tablePart xmlns:r="http://schemas.openxmlformats.org/officeDocument/2006/relationships" r:id="R4067360ef35c478a"/>
  </x:tableParts>
</x:worksheet>
</file>

<file path=xl/worksheets/sheet7.xml><?xml version="1.0" encoding="utf-8"?>
<x:worksheet xmlns:x="http://schemas.openxmlformats.org/spreadsheetml/2006/main">
  <x:sheetFormatPr defaultRowHeight="15"/>
  <x:cols>
    <x:col min="1" max="1" width="20" hidden="0" customWidth="1"/>
    <x:col min="2" max="2" width="18" hidden="0" customWidth="1"/>
    <x:col min="3" max="3" width="34" hidden="0" customWidth="1"/>
    <x:col min="4" max="4" width="20" hidden="0" customWidth="1"/>
    <x:col min="5" max="5" width="24" hidden="0" customWidth="1"/>
    <x:col min="6" max="6" width="55" hidden="0" customWidth="1"/>
    <x:col min="7" max="7" width="10" hidden="0" customWidth="1"/>
    <x:col min="8" max="8" width="16" hidden="0" customWidth="1"/>
    <x:col min="9" max="9" width="24" hidden="0" customWidth="1"/>
    <x:col min="10" max="10" width="30" hidden="0" customWidth="1"/>
  </x:cols>
  <x:sheetData>
    <x:row r="1">
      <x:c r="A1" s="40" t="str">
        <x:v>سجل مشكلات جودة البيانات</x:v>
      </x:c>
      <x:c r="B1" s="40"/>
      <x:c r="C1" s="40"/>
      <x:c r="D1" s="40"/>
      <x:c r="E1" s="40"/>
      <x:c r="F1" s="40"/>
      <x:c r="G1" s="40"/>
      <x:c r="H1" s="40"/>
      <x:c r="I1" s="40"/>
      <x:c r="J1" s="40"/>
      <x:c r="K1" s="41"/>
      <x:c r="L1" s="41"/>
      <x:c r="M1" s="41"/>
      <x:c r="N1" s="41"/>
      <x:c r="O1" s="41"/>
      <x:c r="P1" s="41"/>
      <x:c r="Q1" s="41"/>
      <x:c r="R1" s="41"/>
      <x:c r="S1" s="41"/>
      <x:c r="T1" s="41"/>
      <x:c r="U1" s="41"/>
      <x:c r="V1" s="41"/>
      <x:c r="W1" s="41"/>
      <x:c r="X1" s="41"/>
      <x:c r="Y1" s="41"/>
      <x:c r="Z1" s="41"/>
    </x:row>
    <x:row r="2">
      <x:c r="A2" s="40"/>
      <x:c r="B2" s="40"/>
      <x:c r="C2" s="40"/>
      <x:c r="D2" s="40"/>
      <x:c r="E2" s="40"/>
      <x:c r="F2" s="40"/>
      <x:c r="G2" s="40"/>
      <x:c r="H2" s="40"/>
      <x:c r="I2" s="40"/>
      <x:c r="J2" s="40"/>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Run Code</x:v>
      </x:c>
      <x:c r="B4" s="50" t="str">
        <x:v>Issue ID</x:v>
      </x:c>
      <x:c r="C4" s="50" t="str">
        <x:v>Rule Code</x:v>
      </x:c>
      <x:c r="D4" s="50" t="str">
        <x:v>Entity Type</x:v>
      </x:c>
      <x:c r="E4" s="50" t="str">
        <x:v>Entity ID</x:v>
      </x:c>
      <x:c r="F4" s="50" t="str">
        <x:v>Message</x:v>
      </x:c>
      <x:c r="G4" s="50" t="str">
        <x:v>Severity</x:v>
      </x:c>
      <x:c r="H4" s="50" t="str">
        <x:v>Status</x:v>
      </x:c>
      <x:c r="I4" s="50" t="str">
        <x:v>Owner Role</x:v>
      </x:c>
      <x:c r="J4" s="50" t="str">
        <x:v>Evidence Ref</x:v>
      </x:c>
      <x:c r="K4" s="41"/>
      <x:c r="L4" s="41"/>
      <x:c r="M4" s="41"/>
      <x:c r="N4" s="41"/>
      <x:c r="O4" s="41"/>
      <x:c r="P4" s="41"/>
      <x:c r="Q4" s="41"/>
      <x:c r="R4" s="41"/>
      <x:c r="S4" s="41"/>
      <x:c r="T4" s="41"/>
      <x:c r="U4" s="41"/>
      <x:c r="V4" s="41"/>
      <x:c r="W4" s="41"/>
      <x:c r="X4" s="41"/>
      <x:c r="Y4" s="41"/>
      <x:c r="Z4" s="41"/>
    </x:row>
    <x:row r="5">
      <x:c r="A5" s="43"/>
      <x:c r="B5" s="43"/>
      <x:c r="C5" s="43"/>
      <x:c r="D5" s="43"/>
      <x:c r="E5" s="43"/>
      <x:c r="F5" s="43"/>
      <x:c r="G5" s="43"/>
      <x:c r="H5" s="43"/>
      <x:c r="I5" s="43"/>
      <x:c r="J5" s="43"/>
      <x:c r="K5" s="41"/>
      <x:c r="L5" s="41"/>
      <x:c r="M5" s="41"/>
      <x:c r="N5" s="41"/>
      <x:c r="O5" s="41"/>
      <x:c r="P5" s="41"/>
      <x:c r="Q5" s="41"/>
      <x:c r="R5" s="41"/>
      <x:c r="S5" s="41"/>
      <x:c r="T5" s="41"/>
      <x:c r="U5" s="41"/>
      <x:c r="V5" s="41"/>
      <x:c r="W5" s="41"/>
      <x:c r="X5" s="41"/>
      <x:c r="Y5" s="41"/>
      <x:c r="Z5" s="41"/>
    </x:row>
    <x:row r="6">
      <x:c r="A6" s="43"/>
      <x:c r="B6" s="43"/>
      <x:c r="C6" s="43"/>
      <x:c r="D6" s="43"/>
      <x:c r="E6" s="43"/>
      <x:c r="F6" s="43"/>
      <x:c r="G6" s="43"/>
      <x:c r="H6" s="43"/>
      <x:c r="I6" s="43"/>
      <x:c r="J6" s="43"/>
      <x:c r="K6" s="41"/>
      <x:c r="L6" s="41"/>
      <x:c r="M6" s="41"/>
      <x:c r="N6" s="41"/>
      <x:c r="O6" s="41"/>
      <x:c r="P6" s="41"/>
      <x:c r="Q6" s="41"/>
      <x:c r="R6" s="41"/>
      <x:c r="S6" s="41"/>
      <x:c r="T6" s="41"/>
      <x:c r="U6" s="41"/>
      <x:c r="V6" s="41"/>
      <x:c r="W6" s="41"/>
      <x:c r="X6" s="41"/>
      <x:c r="Y6" s="41"/>
      <x:c r="Z6" s="41"/>
    </x:row>
    <x:row r="7">
      <x:c r="A7" s="43"/>
      <x:c r="B7" s="43"/>
      <x:c r="C7" s="43"/>
      <x:c r="D7" s="43"/>
      <x:c r="E7" s="43"/>
      <x:c r="F7" s="43"/>
      <x:c r="G7" s="43"/>
      <x:c r="H7" s="43"/>
      <x:c r="I7" s="43"/>
      <x:c r="J7" s="43"/>
      <x:c r="K7" s="41"/>
      <x:c r="L7" s="41"/>
      <x:c r="M7" s="41"/>
      <x:c r="N7" s="41"/>
      <x:c r="O7" s="41"/>
      <x:c r="P7" s="41"/>
      <x:c r="Q7" s="41"/>
      <x:c r="R7" s="41"/>
      <x:c r="S7" s="41"/>
      <x:c r="T7" s="41"/>
      <x:c r="U7" s="41"/>
      <x:c r="V7" s="41"/>
      <x:c r="W7" s="41"/>
      <x:c r="X7" s="41"/>
      <x:c r="Y7" s="41"/>
      <x:c r="Z7" s="41"/>
    </x:row>
    <x:row r="8">
      <x:c r="A8" s="43"/>
      <x:c r="B8" s="43"/>
      <x:c r="C8" s="43"/>
      <x:c r="D8" s="43"/>
      <x:c r="E8" s="43"/>
      <x:c r="F8" s="43"/>
      <x:c r="G8" s="43"/>
      <x:c r="H8" s="43"/>
      <x:c r="I8" s="43"/>
      <x:c r="J8" s="43"/>
      <x:c r="K8" s="41"/>
      <x:c r="L8" s="41"/>
      <x:c r="M8" s="41"/>
      <x:c r="N8" s="41"/>
      <x:c r="O8" s="41"/>
      <x:c r="P8" s="41"/>
      <x:c r="Q8" s="41"/>
      <x:c r="R8" s="41"/>
      <x:c r="S8" s="41"/>
      <x:c r="T8" s="41"/>
      <x:c r="U8" s="41"/>
      <x:c r="V8" s="41"/>
      <x:c r="W8" s="41"/>
      <x:c r="X8" s="41"/>
      <x:c r="Y8" s="41"/>
      <x:c r="Z8" s="41"/>
    </x:row>
    <x:row r="9">
      <x:c r="A9" s="43"/>
      <x:c r="B9" s="43"/>
      <x:c r="C9" s="43"/>
      <x:c r="D9" s="43"/>
      <x:c r="E9" s="43"/>
      <x:c r="F9" s="43"/>
      <x:c r="G9" s="43"/>
      <x:c r="H9" s="43"/>
      <x:c r="I9" s="43"/>
      <x:c r="J9" s="43"/>
      <x:c r="K9" s="41"/>
      <x:c r="L9" s="41"/>
      <x:c r="M9" s="41"/>
      <x:c r="N9" s="41"/>
      <x:c r="O9" s="41"/>
      <x:c r="P9" s="41"/>
      <x:c r="Q9" s="41"/>
      <x:c r="R9" s="41"/>
      <x:c r="S9" s="41"/>
      <x:c r="T9" s="41"/>
      <x:c r="U9" s="41"/>
      <x:c r="V9" s="41"/>
      <x:c r="W9" s="41"/>
      <x:c r="X9" s="41"/>
      <x:c r="Y9" s="41"/>
      <x:c r="Z9" s="41"/>
    </x:row>
    <x:row r="10">
      <x:c r="A10" s="43"/>
      <x:c r="B10" s="43"/>
      <x:c r="C10" s="43"/>
      <x:c r="D10" s="43"/>
      <x:c r="E10" s="43"/>
      <x:c r="F10" s="43"/>
      <x:c r="G10" s="43"/>
      <x:c r="H10" s="43"/>
      <x:c r="I10" s="43"/>
      <x:c r="J10" s="43"/>
      <x:c r="K10" s="41"/>
      <x:c r="L10" s="41"/>
      <x:c r="M10" s="41"/>
      <x:c r="N10" s="41"/>
      <x:c r="O10" s="41"/>
      <x:c r="P10" s="41"/>
      <x:c r="Q10" s="41"/>
      <x:c r="R10" s="41"/>
      <x:c r="S10" s="41"/>
      <x:c r="T10" s="41"/>
      <x:c r="U10" s="41"/>
      <x:c r="V10" s="41"/>
      <x:c r="W10" s="41"/>
      <x:c r="X10" s="41"/>
      <x:c r="Y10" s="41"/>
      <x:c r="Z10" s="41"/>
    </x:row>
    <x:row r="11">
      <x:c r="A11" s="43"/>
      <x:c r="B11" s="43"/>
      <x:c r="C11" s="43"/>
      <x:c r="D11" s="43"/>
      <x:c r="E11" s="43"/>
      <x:c r="F11" s="43"/>
      <x:c r="G11" s="43"/>
      <x:c r="H11" s="43"/>
      <x:c r="I11" s="43"/>
      <x:c r="J11" s="43"/>
      <x:c r="K11" s="41"/>
      <x:c r="L11" s="41"/>
      <x:c r="M11" s="41"/>
      <x:c r="N11" s="41"/>
      <x:c r="O11" s="41"/>
      <x:c r="P11" s="41"/>
      <x:c r="Q11" s="41"/>
      <x:c r="R11" s="41"/>
      <x:c r="S11" s="41"/>
      <x:c r="T11" s="41"/>
      <x:c r="U11" s="41"/>
      <x:c r="V11" s="41"/>
      <x:c r="W11" s="41"/>
      <x:c r="X11" s="41"/>
      <x:c r="Y11" s="41"/>
      <x:c r="Z11" s="41"/>
    </x:row>
    <x:row r="12">
      <x:c r="A12" s="43"/>
      <x:c r="B12" s="43"/>
      <x:c r="C12" s="43"/>
      <x:c r="D12" s="43"/>
      <x:c r="E12" s="43"/>
      <x:c r="F12" s="43"/>
      <x:c r="G12" s="43"/>
      <x:c r="H12" s="43"/>
      <x:c r="I12" s="43"/>
      <x:c r="J12" s="43"/>
      <x:c r="K12" s="41"/>
      <x:c r="L12" s="41"/>
      <x:c r="M12" s="41"/>
      <x:c r="N12" s="41"/>
      <x:c r="O12" s="41"/>
      <x:c r="P12" s="41"/>
      <x:c r="Q12" s="41"/>
      <x:c r="R12" s="41"/>
      <x:c r="S12" s="41"/>
      <x:c r="T12" s="41"/>
      <x:c r="U12" s="41"/>
      <x:c r="V12" s="41"/>
      <x:c r="W12" s="41"/>
      <x:c r="X12" s="41"/>
      <x:c r="Y12" s="41"/>
      <x:c r="Z12" s="41"/>
    </x:row>
    <x:row r="13">
      <x:c r="A13" s="43"/>
      <x:c r="B13" s="43"/>
      <x:c r="C13" s="43"/>
      <x:c r="D13" s="43"/>
      <x:c r="E13" s="43"/>
      <x:c r="F13" s="43"/>
      <x:c r="G13" s="43"/>
      <x:c r="H13" s="43"/>
      <x:c r="I13" s="43"/>
      <x:c r="J13" s="43"/>
      <x:c r="K13" s="41"/>
      <x:c r="L13" s="41"/>
      <x:c r="M13" s="41"/>
      <x:c r="N13" s="41"/>
      <x:c r="O13" s="41"/>
      <x:c r="P13" s="41"/>
      <x:c r="Q13" s="41"/>
      <x:c r="R13" s="41"/>
      <x:c r="S13" s="41"/>
      <x:c r="T13" s="41"/>
      <x:c r="U13" s="41"/>
      <x:c r="V13" s="41"/>
      <x:c r="W13" s="41"/>
      <x:c r="X13" s="41"/>
      <x:c r="Y13" s="41"/>
      <x:c r="Z13" s="41"/>
    </x:row>
    <x:row r="14">
      <x:c r="A14" s="43"/>
      <x:c r="B14" s="43"/>
      <x:c r="C14" s="43"/>
      <x:c r="D14" s="43"/>
      <x:c r="E14" s="43"/>
      <x:c r="F14" s="43"/>
      <x:c r="G14" s="43"/>
      <x:c r="H14" s="43"/>
      <x:c r="I14" s="43"/>
      <x:c r="J14" s="43"/>
      <x:c r="K14" s="41"/>
      <x:c r="L14" s="41"/>
      <x:c r="M14" s="41"/>
      <x:c r="N14" s="41"/>
      <x:c r="O14" s="41"/>
      <x:c r="P14" s="41"/>
      <x:c r="Q14" s="41"/>
      <x:c r="R14" s="41"/>
      <x:c r="S14" s="41"/>
      <x:c r="T14" s="41"/>
      <x:c r="U14" s="41"/>
      <x:c r="V14" s="41"/>
      <x:c r="W14" s="41"/>
      <x:c r="X14" s="41"/>
      <x:c r="Y14" s="41"/>
      <x:c r="Z14" s="41"/>
    </x:row>
    <x:row r="15">
      <x:c r="A15" s="43"/>
      <x:c r="B15" s="43"/>
      <x:c r="C15" s="43"/>
      <x:c r="D15" s="43"/>
      <x:c r="E15" s="43"/>
      <x:c r="F15" s="43"/>
      <x:c r="G15" s="43"/>
      <x:c r="H15" s="43"/>
      <x:c r="I15" s="43"/>
      <x:c r="J15" s="43"/>
      <x:c r="K15" s="41"/>
      <x:c r="L15" s="41"/>
      <x:c r="M15" s="41"/>
      <x:c r="N15" s="41"/>
      <x:c r="O15" s="41"/>
      <x:c r="P15" s="41"/>
      <x:c r="Q15" s="41"/>
      <x:c r="R15" s="41"/>
      <x:c r="S15" s="41"/>
      <x:c r="T15" s="41"/>
      <x:c r="U15" s="41"/>
      <x:c r="V15" s="41"/>
      <x:c r="W15" s="41"/>
      <x:c r="X15" s="41"/>
      <x:c r="Y15" s="41"/>
      <x:c r="Z15" s="41"/>
    </x:row>
    <x:row r="16">
      <x:c r="A16" s="43"/>
      <x:c r="B16" s="43"/>
      <x:c r="C16" s="43"/>
      <x:c r="D16" s="43"/>
      <x:c r="E16" s="43"/>
      <x:c r="F16" s="43"/>
      <x:c r="G16" s="43"/>
      <x:c r="H16" s="43"/>
      <x:c r="I16" s="43"/>
      <x:c r="J16" s="43"/>
      <x:c r="K16" s="41"/>
      <x:c r="L16" s="41"/>
      <x:c r="M16" s="41"/>
      <x:c r="N16" s="41"/>
      <x:c r="O16" s="41"/>
      <x:c r="P16" s="41"/>
      <x:c r="Q16" s="41"/>
      <x:c r="R16" s="41"/>
      <x:c r="S16" s="41"/>
      <x:c r="T16" s="41"/>
      <x:c r="U16" s="41"/>
      <x:c r="V16" s="41"/>
      <x:c r="W16" s="41"/>
      <x:c r="X16" s="41"/>
      <x:c r="Y16" s="41"/>
      <x:c r="Z16" s="41"/>
    </x:row>
    <x:row r="17">
      <x:c r="A17" s="43"/>
      <x:c r="B17" s="43"/>
      <x:c r="C17" s="43"/>
      <x:c r="D17" s="43"/>
      <x:c r="E17" s="43"/>
      <x:c r="F17" s="43"/>
      <x:c r="G17" s="43"/>
      <x:c r="H17" s="43"/>
      <x:c r="I17" s="43"/>
      <x:c r="J17" s="43"/>
      <x:c r="K17" s="41"/>
      <x:c r="L17" s="41"/>
      <x:c r="M17" s="41"/>
      <x:c r="N17" s="41"/>
      <x:c r="O17" s="41"/>
      <x:c r="P17" s="41"/>
      <x:c r="Q17" s="41"/>
      <x:c r="R17" s="41"/>
      <x:c r="S17" s="41"/>
      <x:c r="T17" s="41"/>
      <x:c r="U17" s="41"/>
      <x:c r="V17" s="41"/>
      <x:c r="W17" s="41"/>
      <x:c r="X17" s="41"/>
      <x:c r="Y17" s="41"/>
      <x:c r="Z17" s="41"/>
    </x:row>
    <x:row r="18">
      <x:c r="A18" s="43"/>
      <x:c r="B18" s="43"/>
      <x:c r="C18" s="43"/>
      <x:c r="D18" s="43"/>
      <x:c r="E18" s="43"/>
      <x:c r="F18" s="43"/>
      <x:c r="G18" s="43"/>
      <x:c r="H18" s="43"/>
      <x:c r="I18" s="43"/>
      <x:c r="J18" s="43"/>
      <x:c r="K18" s="41"/>
      <x:c r="L18" s="41"/>
      <x:c r="M18" s="41"/>
      <x:c r="N18" s="41"/>
      <x:c r="O18" s="41"/>
      <x:c r="P18" s="41"/>
      <x:c r="Q18" s="41"/>
      <x:c r="R18" s="41"/>
      <x:c r="S18" s="41"/>
      <x:c r="T18" s="41"/>
      <x:c r="U18" s="41"/>
      <x:c r="V18" s="41"/>
      <x:c r="W18" s="41"/>
      <x:c r="X18" s="41"/>
      <x:c r="Y18" s="41"/>
      <x:c r="Z18" s="41"/>
    </x:row>
    <x:row r="19">
      <x:c r="A19" s="43"/>
      <x:c r="B19" s="43"/>
      <x:c r="C19" s="43"/>
      <x:c r="D19" s="43"/>
      <x:c r="E19" s="43"/>
      <x:c r="F19" s="43"/>
      <x:c r="G19" s="43"/>
      <x:c r="H19" s="43"/>
      <x:c r="I19" s="43"/>
      <x:c r="J19" s="43"/>
      <x:c r="K19" s="41"/>
      <x:c r="L19" s="41"/>
      <x:c r="M19" s="41"/>
      <x:c r="N19" s="41"/>
      <x:c r="O19" s="41"/>
      <x:c r="P19" s="41"/>
      <x:c r="Q19" s="41"/>
      <x:c r="R19" s="41"/>
      <x:c r="S19" s="41"/>
      <x:c r="T19" s="41"/>
      <x:c r="U19" s="41"/>
      <x:c r="V19" s="41"/>
      <x:c r="W19" s="41"/>
      <x:c r="X19" s="41"/>
      <x:c r="Y19" s="41"/>
      <x:c r="Z19" s="41"/>
    </x:row>
    <x:row r="20">
      <x:c r="A20" s="43"/>
      <x:c r="B20" s="43"/>
      <x:c r="C20" s="43"/>
      <x:c r="D20" s="43"/>
      <x:c r="E20" s="43"/>
      <x:c r="F20" s="43"/>
      <x:c r="G20" s="43"/>
      <x:c r="H20" s="43"/>
      <x:c r="I20" s="43"/>
      <x:c r="J20" s="43"/>
      <x:c r="K20" s="41"/>
      <x:c r="L20" s="41"/>
      <x:c r="M20" s="41"/>
      <x:c r="N20" s="41"/>
      <x:c r="O20" s="41"/>
      <x:c r="P20" s="41"/>
      <x:c r="Q20" s="41"/>
      <x:c r="R20" s="41"/>
      <x:c r="S20" s="41"/>
      <x:c r="T20" s="41"/>
      <x:c r="U20" s="41"/>
      <x:c r="V20" s="41"/>
      <x:c r="W20" s="41"/>
      <x:c r="X20" s="41"/>
      <x:c r="Y20" s="41"/>
      <x:c r="Z20" s="41"/>
    </x:row>
    <x:row r="21">
      <x:c r="A21" s="43"/>
      <x:c r="B21" s="43"/>
      <x:c r="C21" s="43"/>
      <x:c r="D21" s="43"/>
      <x:c r="E21" s="43"/>
      <x:c r="F21" s="43"/>
      <x:c r="G21" s="43"/>
      <x:c r="H21" s="43"/>
      <x:c r="I21" s="43"/>
      <x:c r="J21" s="43"/>
      <x:c r="K21" s="41"/>
      <x:c r="L21" s="41"/>
      <x:c r="M21" s="41"/>
      <x:c r="N21" s="41"/>
      <x:c r="O21" s="41"/>
      <x:c r="P21" s="41"/>
      <x:c r="Q21" s="41"/>
      <x:c r="R21" s="41"/>
      <x:c r="S21" s="41"/>
      <x:c r="T21" s="41"/>
      <x:c r="U21" s="41"/>
      <x:c r="V21" s="41"/>
      <x:c r="W21" s="41"/>
      <x:c r="X21" s="41"/>
      <x:c r="Y21" s="41"/>
      <x:c r="Z21" s="41"/>
    </x:row>
    <x:row r="22">
      <x:c r="A22" s="43"/>
      <x:c r="B22" s="43"/>
      <x:c r="C22" s="43"/>
      <x:c r="D22" s="43"/>
      <x:c r="E22" s="43"/>
      <x:c r="F22" s="43"/>
      <x:c r="G22" s="43"/>
      <x:c r="H22" s="43"/>
      <x:c r="I22" s="43"/>
      <x:c r="J22" s="43"/>
      <x:c r="K22" s="41"/>
      <x:c r="L22" s="41"/>
      <x:c r="M22" s="41"/>
      <x:c r="N22" s="41"/>
      <x:c r="O22" s="41"/>
      <x:c r="P22" s="41"/>
      <x:c r="Q22" s="41"/>
      <x:c r="R22" s="41"/>
      <x:c r="S22" s="41"/>
      <x:c r="T22" s="41"/>
      <x:c r="U22" s="41"/>
      <x:c r="V22" s="41"/>
      <x:c r="W22" s="41"/>
      <x:c r="X22" s="41"/>
      <x:c r="Y22" s="41"/>
      <x:c r="Z22" s="41"/>
    </x:row>
    <x:row r="23">
      <x:c r="A23" s="43"/>
      <x:c r="B23" s="43"/>
      <x:c r="C23" s="43"/>
      <x:c r="D23" s="43"/>
      <x:c r="E23" s="43"/>
      <x:c r="F23" s="43"/>
      <x:c r="G23" s="43"/>
      <x:c r="H23" s="43"/>
      <x:c r="I23" s="43"/>
      <x:c r="J23" s="43"/>
      <x:c r="K23" s="41"/>
      <x:c r="L23" s="41"/>
      <x:c r="M23" s="41"/>
      <x:c r="N23" s="41"/>
      <x:c r="O23" s="41"/>
      <x:c r="P23" s="41"/>
      <x:c r="Q23" s="41"/>
      <x:c r="R23" s="41"/>
      <x:c r="S23" s="41"/>
      <x:c r="T23" s="41"/>
      <x:c r="U23" s="41"/>
      <x:c r="V23" s="41"/>
      <x:c r="W23" s="41"/>
      <x:c r="X23" s="41"/>
      <x:c r="Y23" s="41"/>
      <x:c r="Z23" s="41"/>
    </x:row>
    <x:row r="24">
      <x:c r="A24" s="43"/>
      <x:c r="B24" s="43"/>
      <x:c r="C24" s="43"/>
      <x:c r="D24" s="43"/>
      <x:c r="E24" s="43"/>
      <x:c r="F24" s="43"/>
      <x:c r="G24" s="43"/>
      <x:c r="H24" s="43"/>
      <x:c r="I24" s="43"/>
      <x:c r="J24" s="43"/>
      <x:c r="K24" s="41"/>
      <x:c r="L24" s="41"/>
      <x:c r="M24" s="41"/>
      <x:c r="N24" s="41"/>
      <x:c r="O24" s="41"/>
      <x:c r="P24" s="41"/>
      <x:c r="Q24" s="41"/>
      <x:c r="R24" s="41"/>
      <x:c r="S24" s="41"/>
      <x:c r="T24" s="41"/>
      <x:c r="U24" s="41"/>
      <x:c r="V24" s="41"/>
      <x:c r="W24" s="41"/>
      <x:c r="X24" s="41"/>
      <x:c r="Y24" s="41"/>
      <x:c r="Z24" s="41"/>
    </x:row>
    <x:row r="25">
      <x:c r="A25" s="43"/>
      <x:c r="B25" s="43"/>
      <x:c r="C25" s="43"/>
      <x:c r="D25" s="43"/>
      <x:c r="E25" s="43"/>
      <x:c r="F25" s="43"/>
      <x:c r="G25" s="43"/>
      <x:c r="H25" s="43"/>
      <x:c r="I25" s="43"/>
      <x:c r="J25" s="43"/>
      <x:c r="K25" s="41"/>
      <x:c r="L25" s="41"/>
      <x:c r="M25" s="41"/>
      <x:c r="N25" s="41"/>
      <x:c r="O25" s="41"/>
      <x:c r="P25" s="41"/>
      <x:c r="Q25" s="41"/>
      <x:c r="R25" s="41"/>
      <x:c r="S25" s="41"/>
      <x:c r="T25" s="41"/>
      <x:c r="U25" s="41"/>
      <x:c r="V25" s="41"/>
      <x:c r="W25" s="41"/>
      <x:c r="X25" s="41"/>
      <x:c r="Y25" s="41"/>
      <x:c r="Z25" s="41"/>
    </x:row>
    <x:row r="26">
      <x:c r="A26" s="43"/>
      <x:c r="B26" s="43"/>
      <x:c r="C26" s="43"/>
      <x:c r="D26" s="43"/>
      <x:c r="E26" s="43"/>
      <x:c r="F26" s="43"/>
      <x:c r="G26" s="43"/>
      <x:c r="H26" s="43"/>
      <x:c r="I26" s="43"/>
      <x:c r="J26" s="43"/>
      <x:c r="K26" s="41"/>
      <x:c r="L26" s="41"/>
      <x:c r="M26" s="41"/>
      <x:c r="N26" s="41"/>
      <x:c r="O26" s="41"/>
      <x:c r="P26" s="41"/>
      <x:c r="Q26" s="41"/>
      <x:c r="R26" s="41"/>
      <x:c r="S26" s="41"/>
      <x:c r="T26" s="41"/>
      <x:c r="U26" s="41"/>
      <x:c r="V26" s="41"/>
      <x:c r="W26" s="41"/>
      <x:c r="X26" s="41"/>
      <x:c r="Y26" s="41"/>
      <x:c r="Z26" s="41"/>
    </x:row>
    <x:row r="27">
      <x:c r="A27" s="43"/>
      <x:c r="B27" s="43"/>
      <x:c r="C27" s="43"/>
      <x:c r="D27" s="43"/>
      <x:c r="E27" s="43"/>
      <x:c r="F27" s="43"/>
      <x:c r="G27" s="43"/>
      <x:c r="H27" s="43"/>
      <x:c r="I27" s="43"/>
      <x:c r="J27" s="43"/>
      <x:c r="K27" s="41"/>
      <x:c r="L27" s="41"/>
      <x:c r="M27" s="41"/>
      <x:c r="N27" s="41"/>
      <x:c r="O27" s="41"/>
      <x:c r="P27" s="41"/>
      <x:c r="Q27" s="41"/>
      <x:c r="R27" s="41"/>
      <x:c r="S27" s="41"/>
      <x:c r="T27" s="41"/>
      <x:c r="U27" s="41"/>
      <x:c r="V27" s="41"/>
      <x:c r="W27" s="41"/>
      <x:c r="X27" s="41"/>
      <x:c r="Y27" s="41"/>
      <x:c r="Z27" s="41"/>
    </x:row>
    <x:row r="28">
      <x:c r="A28" s="43"/>
      <x:c r="B28" s="43"/>
      <x:c r="C28" s="43"/>
      <x:c r="D28" s="43"/>
      <x:c r="E28" s="43"/>
      <x:c r="F28" s="43"/>
      <x:c r="G28" s="43"/>
      <x:c r="H28" s="43"/>
      <x:c r="I28" s="43"/>
      <x:c r="J28" s="43"/>
      <x:c r="K28" s="41"/>
      <x:c r="L28" s="41"/>
      <x:c r="M28" s="41"/>
      <x:c r="N28" s="41"/>
      <x:c r="O28" s="41"/>
      <x:c r="P28" s="41"/>
      <x:c r="Q28" s="41"/>
      <x:c r="R28" s="41"/>
      <x:c r="S28" s="41"/>
      <x:c r="T28" s="41"/>
      <x:c r="U28" s="41"/>
      <x:c r="V28" s="41"/>
      <x:c r="W28" s="41"/>
      <x:c r="X28" s="41"/>
      <x:c r="Y28" s="41"/>
      <x:c r="Z28" s="41"/>
    </x:row>
    <x:row r="29">
      <x:c r="A29" s="43"/>
      <x:c r="B29" s="43"/>
      <x:c r="C29" s="43"/>
      <x:c r="D29" s="43"/>
      <x:c r="E29" s="43"/>
      <x:c r="F29" s="43"/>
      <x:c r="G29" s="43"/>
      <x:c r="H29" s="43"/>
      <x:c r="I29" s="43"/>
      <x:c r="J29" s="43"/>
      <x:c r="K29" s="41"/>
      <x:c r="L29" s="41"/>
      <x:c r="M29" s="41"/>
      <x:c r="N29" s="41"/>
      <x:c r="O29" s="41"/>
      <x:c r="P29" s="41"/>
      <x:c r="Q29" s="41"/>
      <x:c r="R29" s="41"/>
      <x:c r="S29" s="41"/>
      <x:c r="T29" s="41"/>
      <x:c r="U29" s="41"/>
      <x:c r="V29" s="41"/>
      <x:c r="W29" s="41"/>
      <x:c r="X29" s="41"/>
      <x:c r="Y29" s="41"/>
      <x:c r="Z29" s="41"/>
    </x:row>
    <x:row r="30">
      <x:c r="A30" s="43"/>
      <x:c r="B30" s="43"/>
      <x:c r="C30" s="43"/>
      <x:c r="D30" s="43"/>
      <x:c r="E30" s="43"/>
      <x:c r="F30" s="43"/>
      <x:c r="G30" s="43"/>
      <x:c r="H30" s="43"/>
      <x:c r="I30" s="43"/>
      <x:c r="J30" s="43"/>
      <x:c r="K30" s="41"/>
      <x:c r="L30" s="41"/>
      <x:c r="M30" s="41"/>
      <x:c r="N30" s="41"/>
      <x:c r="O30" s="41"/>
      <x:c r="P30" s="41"/>
      <x:c r="Q30" s="41"/>
      <x:c r="R30" s="41"/>
      <x:c r="S30" s="41"/>
      <x:c r="T30" s="41"/>
      <x:c r="U30" s="41"/>
      <x:c r="V30" s="41"/>
      <x:c r="W30" s="41"/>
      <x:c r="X30" s="41"/>
      <x:c r="Y30" s="41"/>
      <x:c r="Z30" s="41"/>
    </x:row>
    <x:row r="31">
      <x:c r="A31" s="43"/>
      <x:c r="B31" s="43"/>
      <x:c r="C31" s="43"/>
      <x:c r="D31" s="43"/>
      <x:c r="E31" s="43"/>
      <x:c r="F31" s="43"/>
      <x:c r="G31" s="43"/>
      <x:c r="H31" s="43"/>
      <x:c r="I31" s="43"/>
      <x:c r="J31" s="43"/>
      <x:c r="K31" s="41"/>
      <x:c r="L31" s="41"/>
      <x:c r="M31" s="41"/>
      <x:c r="N31" s="41"/>
      <x:c r="O31" s="41"/>
      <x:c r="P31" s="41"/>
      <x:c r="Q31" s="41"/>
      <x:c r="R31" s="41"/>
      <x:c r="S31" s="41"/>
      <x:c r="T31" s="41"/>
      <x:c r="U31" s="41"/>
      <x:c r="V31" s="41"/>
      <x:c r="W31" s="41"/>
      <x:c r="X31" s="41"/>
      <x:c r="Y31" s="41"/>
      <x:c r="Z31" s="41"/>
    </x:row>
    <x:row r="32">
      <x:c r="A32" s="43"/>
      <x:c r="B32" s="43"/>
      <x:c r="C32" s="43"/>
      <x:c r="D32" s="43"/>
      <x:c r="E32" s="43"/>
      <x:c r="F32" s="43"/>
      <x:c r="G32" s="43"/>
      <x:c r="H32" s="43"/>
      <x:c r="I32" s="43"/>
      <x:c r="J32" s="43"/>
      <x:c r="K32" s="41"/>
      <x:c r="L32" s="41"/>
      <x:c r="M32" s="41"/>
      <x:c r="N32" s="41"/>
      <x:c r="O32" s="41"/>
      <x:c r="P32" s="41"/>
      <x:c r="Q32" s="41"/>
      <x:c r="R32" s="41"/>
      <x:c r="S32" s="41"/>
      <x:c r="T32" s="41"/>
      <x:c r="U32" s="41"/>
      <x:c r="V32" s="41"/>
      <x:c r="W32" s="41"/>
      <x:c r="X32" s="41"/>
      <x:c r="Y32" s="41"/>
      <x:c r="Z32" s="41"/>
    </x:row>
    <x:row r="33">
      <x:c r="A33" s="43"/>
      <x:c r="B33" s="43"/>
      <x:c r="C33" s="43"/>
      <x:c r="D33" s="43"/>
      <x:c r="E33" s="43"/>
      <x:c r="F33" s="43"/>
      <x:c r="G33" s="43"/>
      <x:c r="H33" s="43"/>
      <x:c r="I33" s="43"/>
      <x:c r="J33" s="43"/>
      <x:c r="K33" s="41"/>
      <x:c r="L33" s="41"/>
      <x:c r="M33" s="41"/>
      <x:c r="N33" s="41"/>
      <x:c r="O33" s="41"/>
      <x:c r="P33" s="41"/>
      <x:c r="Q33" s="41"/>
      <x:c r="R33" s="41"/>
      <x:c r="S33" s="41"/>
      <x:c r="T33" s="41"/>
      <x:c r="U33" s="41"/>
      <x:c r="V33" s="41"/>
      <x:c r="W33" s="41"/>
      <x:c r="X33" s="41"/>
      <x:c r="Y33" s="41"/>
      <x:c r="Z33" s="41"/>
    </x:row>
    <x:row r="34">
      <x:c r="A34" s="43"/>
      <x:c r="B34" s="43"/>
      <x:c r="C34" s="43"/>
      <x:c r="D34" s="43"/>
      <x:c r="E34" s="43"/>
      <x:c r="F34" s="43"/>
      <x:c r="G34" s="43"/>
      <x:c r="H34" s="43"/>
      <x:c r="I34" s="43"/>
      <x:c r="J34" s="43"/>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J2"/>
  </x:mergeCells>
  <x:dataValidations count="2">
    <x:dataValidation type="list" sqref="G5:G34">
      <x:formula1>"P0,P1,P2,P3"</x:formula1>
    </x:dataValidation>
    <x:dataValidation type="list" sqref="H5:H34">
      <x:formula1>_Lists!$D$2:$D$5</x:formula1>
    </x:dataValidation>
  </x:dataValidations>
  <x:pageMargins left="0.7" right="0.7" top="0.75" bottom="0.75" header="0.3" footer="0.3"/>
  <x:tableParts count="1">
    <x:tablePart xmlns:r="http://schemas.openxmlformats.org/officeDocument/2006/relationships" r:id="R49c1be30b8394aa5"/>
  </x:tableParts>
</x:worksheet>
</file>

<file path=xl/worksheets/sheet8.xml><?xml version="1.0" encoding="utf-8"?>
<x:worksheet xmlns:x="http://schemas.openxmlformats.org/spreadsheetml/2006/main">
  <x:sheetFormatPr defaultRowHeight="15"/>
  <x:cols>
    <x:col min="1" max="1" width="20" hidden="0" customWidth="1"/>
    <x:col min="2" max="2" width="45" hidden="0" customWidth="1"/>
    <x:col min="3" max="3" width="16" hidden="0" customWidth="1"/>
    <x:col min="4" max="4" width="16" hidden="0" customWidth="1"/>
    <x:col min="5" max="5" width="15" hidden="0" customWidth="1"/>
    <x:col min="6" max="6" width="15" hidden="0" customWidth="1"/>
    <x:col min="7" max="7" width="24" hidden="0" customWidth="1"/>
    <x:col min="8" max="8" width="12" hidden="0" customWidth="1"/>
    <x:col min="9" max="9" width="12" hidden="0" customWidth="1"/>
  </x:cols>
  <x:sheetData>
    <x:row r="1">
      <x:c r="A1" s="40" t="str">
        <x:v>موجات التوسع على مستوى التجمع</x:v>
      </x:c>
      <x:c r="B1" s="40"/>
      <x:c r="C1" s="40"/>
      <x:c r="D1" s="40"/>
      <x:c r="E1" s="40"/>
      <x:c r="F1" s="40"/>
      <x:c r="G1" s="40"/>
      <x:c r="H1" s="40"/>
      <x:c r="I1" s="40"/>
      <x:c r="J1" s="41"/>
      <x:c r="K1" s="41"/>
      <x:c r="L1" s="41"/>
      <x:c r="M1" s="41"/>
      <x:c r="N1" s="41"/>
      <x:c r="O1" s="41"/>
      <x:c r="P1" s="41"/>
      <x:c r="Q1" s="41"/>
      <x:c r="R1" s="41"/>
      <x:c r="S1" s="41"/>
      <x:c r="T1" s="41"/>
      <x:c r="U1" s="41"/>
      <x:c r="V1" s="41"/>
      <x:c r="W1" s="41"/>
      <x:c r="X1" s="41"/>
      <x:c r="Y1" s="41"/>
      <x:c r="Z1" s="41"/>
    </x:row>
    <x:row r="2">
      <x:c r="A2" s="40"/>
      <x:c r="B2" s="40"/>
      <x:c r="C2" s="40"/>
      <x:c r="D2" s="40"/>
      <x:c r="E2" s="40"/>
      <x:c r="F2" s="40"/>
      <x:c r="G2" s="40"/>
      <x:c r="H2" s="40"/>
      <x:c r="I2" s="40"/>
      <x:c r="J2" s="41"/>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Wave Code</x:v>
      </x:c>
      <x:c r="B4" s="50" t="str">
        <x:v>Name</x:v>
      </x:c>
      <x:c r="C4" s="50" t="str">
        <x:v>Template Site</x:v>
      </x:c>
      <x:c r="D4" s="50" t="str">
        <x:v>Status</x:v>
      </x:c>
      <x:c r="E4" s="50" t="str">
        <x:v>Planned Start</x:v>
      </x:c>
      <x:c r="F4" s="50" t="str">
        <x:v>Planned End</x:v>
      </x:c>
      <x:c r="G4" s="50" t="str">
        <x:v>Owner Role</x:v>
      </x:c>
      <x:c r="H4" s="50" t="str">
        <x:v>Site Total</x:v>
      </x:c>
      <x:c r="I4" s="50" t="str">
        <x:v>Site Ready</x:v>
      </x:c>
      <x:c r="J4" s="41"/>
      <x:c r="K4" s="41"/>
      <x:c r="L4" s="41"/>
      <x:c r="M4" s="41"/>
      <x:c r="N4" s="41"/>
      <x:c r="O4" s="41"/>
      <x:c r="P4" s="41"/>
      <x:c r="Q4" s="41"/>
      <x:c r="R4" s="41"/>
      <x:c r="S4" s="41"/>
      <x:c r="T4" s="41"/>
      <x:c r="U4" s="41"/>
      <x:c r="V4" s="41"/>
      <x:c r="W4" s="41"/>
      <x:c r="X4" s="41"/>
      <x:c r="Y4" s="41"/>
      <x:c r="Z4" s="41"/>
    </x:row>
    <x:row r="5">
      <x:c r="A5" s="41" t="str">
        <x:v>NBC-WAVE-01</x:v>
      </x:c>
      <x:c r="B5" s="41" t="str">
        <x:v>Northern Border first expansion wave</x:v>
      </x:c>
      <x:c r="C5" s="41" t="str">
        <x:v>TGH</x:v>
      </x:c>
      <x:c r="D5" s="41" t="str">
        <x:v>Draft</x:v>
      </x:c>
      <x:c r="E5" s="58" t="n">
        <x:v>46266</x:v>
      </x:c>
      <x:c r="F5" s="58" t="n">
        <x:v>46387</x:v>
      </x:c>
      <x:c r="G5" s="41" t="str">
        <x:v>AccreditationLead</x:v>
      </x:c>
      <x:c r="H5" s="41" t="n">
        <x:v>0</x:v>
      </x:c>
      <x:c r="I5" s="41" t="n">
        <x:v>0</x:v>
      </x:c>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I2"/>
  </x:mergeCells>
  <x:dataValidations count="1">
    <x:dataValidation type="list" sqref="D5">
      <x:formula1>_Lists!$E$2:$E$7</x:formula1>
    </x:dataValidation>
  </x:dataValidations>
  <x:pageMargins left="0.7" right="0.7" top="0.75" bottom="0.75" header="0.3" footer="0.3"/>
  <x:tableParts count="1">
    <x:tablePart xmlns:r="http://schemas.openxmlformats.org/officeDocument/2006/relationships" r:id="R269eb3f3de6245a6"/>
  </x:tableParts>
</x:worksheet>
</file>

<file path=xl/worksheets/sheet9.xml><?xml version="1.0" encoding="utf-8"?>
<x:worksheet xmlns:x="http://schemas.openxmlformats.org/spreadsheetml/2006/main">
  <x:sheetFormatPr defaultRowHeight="15"/>
  <x:cols>
    <x:col min="1" max="1" width="20" hidden="0" customWidth="1"/>
    <x:col min="2" max="2" width="14" hidden="0" customWidth="1"/>
    <x:col min="3" max="3" width="35" hidden="0" customWidth="1"/>
    <x:col min="4" max="4" width="16" hidden="0" customWidth="1"/>
    <x:col min="5" max="5" width="16" hidden="0" customWidth="1"/>
    <x:col min="6" max="6" width="14" hidden="0" customWidth="1"/>
    <x:col min="7" max="7" width="18" hidden="0" customWidth="1"/>
    <x:col min="8" max="8" width="16" hidden="0" customWidth="1"/>
    <x:col min="9" max="9" width="12" hidden="0" customWidth="1"/>
    <x:col min="10" max="10" width="14" hidden="0" customWidth="1"/>
    <x:col min="11" max="11" width="30" hidden="0" customWidth="1"/>
    <x:col min="12" max="12" width="24" hidden="0" customWidth="1"/>
    <x:col min="13" max="13" width="35" hidden="0" customWidth="1"/>
  </x:cols>
  <x:sheetData>
    <x:row r="1">
      <x:c r="A1" s="40" t="str">
        <x:v>بوابات المواقع ضمن موجات التوسع</x:v>
      </x:c>
      <x:c r="B1" s="40"/>
      <x:c r="C1" s="40"/>
      <x:c r="D1" s="40"/>
      <x:c r="E1" s="40"/>
      <x:c r="F1" s="40"/>
      <x:c r="G1" s="40"/>
      <x:c r="H1" s="40"/>
      <x:c r="I1" s="40"/>
      <x:c r="J1" s="40"/>
      <x:c r="K1" s="40"/>
      <x:c r="L1" s="40"/>
      <x:c r="M1" s="40"/>
      <x:c r="N1" s="41"/>
      <x:c r="O1" s="41"/>
      <x:c r="P1" s="41"/>
      <x:c r="Q1" s="41"/>
      <x:c r="R1" s="41"/>
      <x:c r="S1" s="41"/>
      <x:c r="T1" s="41"/>
      <x:c r="U1" s="41"/>
      <x:c r="V1" s="41"/>
      <x:c r="W1" s="41"/>
      <x:c r="X1" s="41"/>
      <x:c r="Y1" s="41"/>
      <x:c r="Z1" s="41"/>
    </x:row>
    <x:row r="2">
      <x:c r="A2" s="40"/>
      <x:c r="B2" s="40"/>
      <x:c r="C2" s="40"/>
      <x:c r="D2" s="40"/>
      <x:c r="E2" s="40"/>
      <x:c r="F2" s="40"/>
      <x:c r="G2" s="40"/>
      <x:c r="H2" s="40"/>
      <x:c r="I2" s="40"/>
      <x:c r="J2" s="40"/>
      <x:c r="K2" s="40"/>
      <x:c r="L2" s="40"/>
      <x:c r="M2" s="40"/>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Wave Code</x:v>
      </x:c>
      <x:c r="B4" s="50" t="str">
        <x:v>Site Code</x:v>
      </x:c>
      <x:c r="C4" s="50" t="str">
        <x:v>Site Name</x:v>
      </x:c>
      <x:c r="D4" s="50" t="str">
        <x:v>Status</x:v>
      </x:c>
      <x:c r="E4" s="50" t="str">
        <x:v>Baseline Imported</x:v>
      </x:c>
      <x:c r="F4" s="50" t="str">
        <x:v>Users Ready</x:v>
      </x:c>
      <x:c r="G4" s="50" t="str">
        <x:v>Training Complete</x:v>
      </x:c>
      <x:c r="H4" s="50" t="str">
        <x:v>Deployment Pass</x:v>
      </x:c>
      <x:c r="I4" s="50" t="str">
        <x:v>OIDC Pass</x:v>
      </x:c>
      <x:c r="J4" s="50" t="str">
        <x:v>Go-Live Ready</x:v>
      </x:c>
      <x:c r="K4" s="50" t="str">
        <x:v>Evidence Ref</x:v>
      </x:c>
      <x:c r="L4" s="50" t="str">
        <x:v>Owner</x:v>
      </x:c>
      <x:c r="M4" s="50" t="str">
        <x:v>Notes</x:v>
      </x:c>
      <x:c r="N4" s="41"/>
      <x:c r="O4" s="41"/>
      <x:c r="P4" s="41"/>
      <x:c r="Q4" s="41"/>
      <x:c r="R4" s="41"/>
      <x:c r="S4" s="41"/>
      <x:c r="T4" s="41"/>
      <x:c r="U4" s="41"/>
      <x:c r="V4" s="41"/>
      <x:c r="W4" s="41"/>
      <x:c r="X4" s="41"/>
      <x:c r="Y4" s="41"/>
      <x:c r="Z4" s="41"/>
    </x:row>
    <x:row r="5">
      <x:c r="A5" s="43"/>
      <x:c r="B5" s="43"/>
      <x:c r="C5" s="43"/>
      <x:c r="D5" s="43"/>
      <x:c r="E5" s="54" t="b">
        <x:v>0</x:v>
      </x:c>
      <x:c r="F5" s="54" t="b">
        <x:v>0</x:v>
      </x:c>
      <x:c r="G5" s="54" t="b">
        <x:v>0</x:v>
      </x:c>
      <x:c r="H5" s="54" t="b">
        <x:v>0</x:v>
      </x:c>
      <x:c r="I5" s="54" t="b">
        <x:v>0</x:v>
      </x:c>
      <x:c r="J5" s="43" t="n">
        <x:f>IF(B5="",0,IF(AND(E5=TRUE,F5=TRUE,G5=TRUE,H5=TRUE,I5=TRUE),1,0))</x:f>
        <x:v>0</x:v>
      </x:c>
      <x:c r="K5" s="43"/>
      <x:c r="L5" s="43"/>
      <x:c r="M5" s="43"/>
      <x:c r="N5" s="41"/>
      <x:c r="O5" s="41"/>
      <x:c r="P5" s="41"/>
      <x:c r="Q5" s="41"/>
      <x:c r="R5" s="41"/>
      <x:c r="S5" s="41"/>
      <x:c r="T5" s="41"/>
      <x:c r="U5" s="41"/>
      <x:c r="V5" s="41"/>
      <x:c r="W5" s="41"/>
      <x:c r="X5" s="41"/>
      <x:c r="Y5" s="41"/>
      <x:c r="Z5" s="41"/>
    </x:row>
    <x:row r="6">
      <x:c r="A6" s="43"/>
      <x:c r="B6" s="43"/>
      <x:c r="C6" s="43"/>
      <x:c r="D6" s="43"/>
      <x:c r="E6" s="54" t="b">
        <x:v>0</x:v>
      </x:c>
      <x:c r="F6" s="54" t="b">
        <x:v>0</x:v>
      </x:c>
      <x:c r="G6" s="54" t="b">
        <x:v>0</x:v>
      </x:c>
      <x:c r="H6" s="54" t="b">
        <x:v>0</x:v>
      </x:c>
      <x:c r="I6" s="54" t="b">
        <x:v>0</x:v>
      </x:c>
      <x:c r="J6" s="43" t="n">
        <x:f>IF(B6="",0,IF(AND(E6=TRUE,F6=TRUE,G6=TRUE,H6=TRUE,I6=TRUE),1,0))</x:f>
        <x:v>0</x:v>
      </x:c>
      <x:c r="K6" s="43"/>
      <x:c r="L6" s="43"/>
      <x:c r="M6" s="43"/>
      <x:c r="N6" s="41"/>
      <x:c r="O6" s="41"/>
      <x:c r="P6" s="41"/>
      <x:c r="Q6" s="41"/>
      <x:c r="R6" s="41"/>
      <x:c r="S6" s="41"/>
      <x:c r="T6" s="41"/>
      <x:c r="U6" s="41"/>
      <x:c r="V6" s="41"/>
      <x:c r="W6" s="41"/>
      <x:c r="X6" s="41"/>
      <x:c r="Y6" s="41"/>
      <x:c r="Z6" s="41"/>
    </x:row>
    <x:row r="7">
      <x:c r="A7" s="43"/>
      <x:c r="B7" s="43"/>
      <x:c r="C7" s="43"/>
      <x:c r="D7" s="43"/>
      <x:c r="E7" s="54" t="b">
        <x:v>0</x:v>
      </x:c>
      <x:c r="F7" s="54" t="b">
        <x:v>0</x:v>
      </x:c>
      <x:c r="G7" s="54" t="b">
        <x:v>0</x:v>
      </x:c>
      <x:c r="H7" s="54" t="b">
        <x:v>0</x:v>
      </x:c>
      <x:c r="I7" s="54" t="b">
        <x:v>0</x:v>
      </x:c>
      <x:c r="J7" s="43" t="n">
        <x:f>IF(B7="",0,IF(AND(E7=TRUE,F7=TRUE,G7=TRUE,H7=TRUE,I7=TRUE),1,0))</x:f>
        <x:v>0</x:v>
      </x:c>
      <x:c r="K7" s="43"/>
      <x:c r="L7" s="43"/>
      <x:c r="M7" s="43"/>
      <x:c r="N7" s="41"/>
      <x:c r="O7" s="41"/>
      <x:c r="P7" s="41"/>
      <x:c r="Q7" s="41"/>
      <x:c r="R7" s="41"/>
      <x:c r="S7" s="41"/>
      <x:c r="T7" s="41"/>
      <x:c r="U7" s="41"/>
      <x:c r="V7" s="41"/>
      <x:c r="W7" s="41"/>
      <x:c r="X7" s="41"/>
      <x:c r="Y7" s="41"/>
      <x:c r="Z7" s="41"/>
    </x:row>
    <x:row r="8">
      <x:c r="A8" s="43"/>
      <x:c r="B8" s="43"/>
      <x:c r="C8" s="43"/>
      <x:c r="D8" s="43"/>
      <x:c r="E8" s="54" t="b">
        <x:v>0</x:v>
      </x:c>
      <x:c r="F8" s="54" t="b">
        <x:v>0</x:v>
      </x:c>
      <x:c r="G8" s="54" t="b">
        <x:v>0</x:v>
      </x:c>
      <x:c r="H8" s="54" t="b">
        <x:v>0</x:v>
      </x:c>
      <x:c r="I8" s="54" t="b">
        <x:v>0</x:v>
      </x:c>
      <x:c r="J8" s="43" t="n">
        <x:f>IF(B8="",0,IF(AND(E8=TRUE,F8=TRUE,G8=TRUE,H8=TRUE,I8=TRUE),1,0))</x:f>
        <x:v>0</x:v>
      </x:c>
      <x:c r="K8" s="43"/>
      <x:c r="L8" s="43"/>
      <x:c r="M8" s="43"/>
      <x:c r="N8" s="41"/>
      <x:c r="O8" s="41"/>
      <x:c r="P8" s="41"/>
      <x:c r="Q8" s="41"/>
      <x:c r="R8" s="41"/>
      <x:c r="S8" s="41"/>
      <x:c r="T8" s="41"/>
      <x:c r="U8" s="41"/>
      <x:c r="V8" s="41"/>
      <x:c r="W8" s="41"/>
      <x:c r="X8" s="41"/>
      <x:c r="Y8" s="41"/>
      <x:c r="Z8" s="41"/>
    </x:row>
    <x:row r="9">
      <x:c r="A9" s="43"/>
      <x:c r="B9" s="43"/>
      <x:c r="C9" s="43"/>
      <x:c r="D9" s="43"/>
      <x:c r="E9" s="54" t="b">
        <x:v>0</x:v>
      </x:c>
      <x:c r="F9" s="54" t="b">
        <x:v>0</x:v>
      </x:c>
      <x:c r="G9" s="54" t="b">
        <x:v>0</x:v>
      </x:c>
      <x:c r="H9" s="54" t="b">
        <x:v>0</x:v>
      </x:c>
      <x:c r="I9" s="54" t="b">
        <x:v>0</x:v>
      </x:c>
      <x:c r="J9" s="43" t="n">
        <x:f>IF(B9="",0,IF(AND(E9=TRUE,F9=TRUE,G9=TRUE,H9=TRUE,I9=TRUE),1,0))</x:f>
        <x:v>0</x:v>
      </x:c>
      <x:c r="K9" s="43"/>
      <x:c r="L9" s="43"/>
      <x:c r="M9" s="43"/>
      <x:c r="N9" s="41"/>
      <x:c r="O9" s="41"/>
      <x:c r="P9" s="41"/>
      <x:c r="Q9" s="41"/>
      <x:c r="R9" s="41"/>
      <x:c r="S9" s="41"/>
      <x:c r="T9" s="41"/>
      <x:c r="U9" s="41"/>
      <x:c r="V9" s="41"/>
      <x:c r="W9" s="41"/>
      <x:c r="X9" s="41"/>
      <x:c r="Y9" s="41"/>
      <x:c r="Z9" s="41"/>
    </x:row>
    <x:row r="10">
      <x:c r="A10" s="43"/>
      <x:c r="B10" s="43"/>
      <x:c r="C10" s="43"/>
      <x:c r="D10" s="43"/>
      <x:c r="E10" s="54" t="b">
        <x:v>0</x:v>
      </x:c>
      <x:c r="F10" s="54" t="b">
        <x:v>0</x:v>
      </x:c>
      <x:c r="G10" s="54" t="b">
        <x:v>0</x:v>
      </x:c>
      <x:c r="H10" s="54" t="b">
        <x:v>0</x:v>
      </x:c>
      <x:c r="I10" s="54" t="b">
        <x:v>0</x:v>
      </x:c>
      <x:c r="J10" s="43" t="n">
        <x:f>IF(B10="",0,IF(AND(E10=TRUE,F10=TRUE,G10=TRUE,H10=TRUE,I10=TRUE),1,0))</x:f>
        <x:v>0</x:v>
      </x:c>
      <x:c r="K10" s="43"/>
      <x:c r="L10" s="43"/>
      <x:c r="M10" s="43"/>
      <x:c r="N10" s="41"/>
      <x:c r="O10" s="41"/>
      <x:c r="P10" s="41"/>
      <x:c r="Q10" s="41"/>
      <x:c r="R10" s="41"/>
      <x:c r="S10" s="41"/>
      <x:c r="T10" s="41"/>
      <x:c r="U10" s="41"/>
      <x:c r="V10" s="41"/>
      <x:c r="W10" s="41"/>
      <x:c r="X10" s="41"/>
      <x:c r="Y10" s="41"/>
      <x:c r="Z10" s="41"/>
    </x:row>
    <x:row r="11">
      <x:c r="A11" s="43"/>
      <x:c r="B11" s="43"/>
      <x:c r="C11" s="43"/>
      <x:c r="D11" s="43"/>
      <x:c r="E11" s="54" t="b">
        <x:v>0</x:v>
      </x:c>
      <x:c r="F11" s="54" t="b">
        <x:v>0</x:v>
      </x:c>
      <x:c r="G11" s="54" t="b">
        <x:v>0</x:v>
      </x:c>
      <x:c r="H11" s="54" t="b">
        <x:v>0</x:v>
      </x:c>
      <x:c r="I11" s="54" t="b">
        <x:v>0</x:v>
      </x:c>
      <x:c r="J11" s="43" t="n">
        <x:f>IF(B11="",0,IF(AND(E11=TRUE,F11=TRUE,G11=TRUE,H11=TRUE,I11=TRUE),1,0))</x:f>
        <x:v>0</x:v>
      </x:c>
      <x:c r="K11" s="43"/>
      <x:c r="L11" s="43"/>
      <x:c r="M11" s="43"/>
      <x:c r="N11" s="41"/>
      <x:c r="O11" s="41"/>
      <x:c r="P11" s="41"/>
      <x:c r="Q11" s="41"/>
      <x:c r="R11" s="41"/>
      <x:c r="S11" s="41"/>
      <x:c r="T11" s="41"/>
      <x:c r="U11" s="41"/>
      <x:c r="V11" s="41"/>
      <x:c r="W11" s="41"/>
      <x:c r="X11" s="41"/>
      <x:c r="Y11" s="41"/>
      <x:c r="Z11" s="41"/>
    </x:row>
    <x:row r="12">
      <x:c r="A12" s="43"/>
      <x:c r="B12" s="43"/>
      <x:c r="C12" s="43"/>
      <x:c r="D12" s="43"/>
      <x:c r="E12" s="54" t="b">
        <x:v>0</x:v>
      </x:c>
      <x:c r="F12" s="54" t="b">
        <x:v>0</x:v>
      </x:c>
      <x:c r="G12" s="54" t="b">
        <x:v>0</x:v>
      </x:c>
      <x:c r="H12" s="54" t="b">
        <x:v>0</x:v>
      </x:c>
      <x:c r="I12" s="54" t="b">
        <x:v>0</x:v>
      </x:c>
      <x:c r="J12" s="43" t="n">
        <x:f>IF(B12="",0,IF(AND(E12=TRUE,F12=TRUE,G12=TRUE,H12=TRUE,I12=TRUE),1,0))</x:f>
        <x:v>0</x:v>
      </x:c>
      <x:c r="K12" s="43"/>
      <x:c r="L12" s="43"/>
      <x:c r="M12" s="43"/>
      <x:c r="N12" s="41"/>
      <x:c r="O12" s="41"/>
      <x:c r="P12" s="41"/>
      <x:c r="Q12" s="41"/>
      <x:c r="R12" s="41"/>
      <x:c r="S12" s="41"/>
      <x:c r="T12" s="41"/>
      <x:c r="U12" s="41"/>
      <x:c r="V12" s="41"/>
      <x:c r="W12" s="41"/>
      <x:c r="X12" s="41"/>
      <x:c r="Y12" s="41"/>
      <x:c r="Z12" s="41"/>
    </x:row>
    <x:row r="13">
      <x:c r="A13" s="43"/>
      <x:c r="B13" s="43"/>
      <x:c r="C13" s="43"/>
      <x:c r="D13" s="43"/>
      <x:c r="E13" s="54" t="b">
        <x:v>0</x:v>
      </x:c>
      <x:c r="F13" s="54" t="b">
        <x:v>0</x:v>
      </x:c>
      <x:c r="G13" s="54" t="b">
        <x:v>0</x:v>
      </x:c>
      <x:c r="H13" s="54" t="b">
        <x:v>0</x:v>
      </x:c>
      <x:c r="I13" s="54" t="b">
        <x:v>0</x:v>
      </x:c>
      <x:c r="J13" s="43" t="n">
        <x:f>IF(B13="",0,IF(AND(E13=TRUE,F13=TRUE,G13=TRUE,H13=TRUE,I13=TRUE),1,0))</x:f>
        <x:v>0</x:v>
      </x:c>
      <x:c r="K13" s="43"/>
      <x:c r="L13" s="43"/>
      <x:c r="M13" s="43"/>
      <x:c r="N13" s="41"/>
      <x:c r="O13" s="41"/>
      <x:c r="P13" s="41"/>
      <x:c r="Q13" s="41"/>
      <x:c r="R13" s="41"/>
      <x:c r="S13" s="41"/>
      <x:c r="T13" s="41"/>
      <x:c r="U13" s="41"/>
      <x:c r="V13" s="41"/>
      <x:c r="W13" s="41"/>
      <x:c r="X13" s="41"/>
      <x:c r="Y13" s="41"/>
      <x:c r="Z13" s="41"/>
    </x:row>
    <x:row r="14">
      <x:c r="A14" s="43"/>
      <x:c r="B14" s="43"/>
      <x:c r="C14" s="43"/>
      <x:c r="D14" s="43"/>
      <x:c r="E14" s="54" t="b">
        <x:v>0</x:v>
      </x:c>
      <x:c r="F14" s="54" t="b">
        <x:v>0</x:v>
      </x:c>
      <x:c r="G14" s="54" t="b">
        <x:v>0</x:v>
      </x:c>
      <x:c r="H14" s="54" t="b">
        <x:v>0</x:v>
      </x:c>
      <x:c r="I14" s="54" t="b">
        <x:v>0</x:v>
      </x:c>
      <x:c r="J14" s="43" t="n">
        <x:f>IF(B14="",0,IF(AND(E14=TRUE,F14=TRUE,G14=TRUE,H14=TRUE,I14=TRUE),1,0))</x:f>
        <x:v>0</x:v>
      </x:c>
      <x:c r="K14" s="43"/>
      <x:c r="L14" s="43"/>
      <x:c r="M14" s="43"/>
      <x:c r="N14" s="41"/>
      <x:c r="O14" s="41"/>
      <x:c r="P14" s="41"/>
      <x:c r="Q14" s="41"/>
      <x:c r="R14" s="41"/>
      <x:c r="S14" s="41"/>
      <x:c r="T14" s="41"/>
      <x:c r="U14" s="41"/>
      <x:c r="V14" s="41"/>
      <x:c r="W14" s="41"/>
      <x:c r="X14" s="41"/>
      <x:c r="Y14" s="41"/>
      <x:c r="Z14" s="41"/>
    </x:row>
    <x:row r="15">
      <x:c r="A15" s="43"/>
      <x:c r="B15" s="43"/>
      <x:c r="C15" s="43"/>
      <x:c r="D15" s="43"/>
      <x:c r="E15" s="54" t="b">
        <x:v>0</x:v>
      </x:c>
      <x:c r="F15" s="54" t="b">
        <x:v>0</x:v>
      </x:c>
      <x:c r="G15" s="54" t="b">
        <x:v>0</x:v>
      </x:c>
      <x:c r="H15" s="54" t="b">
        <x:v>0</x:v>
      </x:c>
      <x:c r="I15" s="54" t="b">
        <x:v>0</x:v>
      </x:c>
      <x:c r="J15" s="43" t="n">
        <x:f>IF(B15="",0,IF(AND(E15=TRUE,F15=TRUE,G15=TRUE,H15=TRUE,I15=TRUE),1,0))</x:f>
        <x:v>0</x:v>
      </x:c>
      <x:c r="K15" s="43"/>
      <x:c r="L15" s="43"/>
      <x:c r="M15" s="43"/>
      <x:c r="N15" s="41"/>
      <x:c r="O15" s="41"/>
      <x:c r="P15" s="41"/>
      <x:c r="Q15" s="41"/>
      <x:c r="R15" s="41"/>
      <x:c r="S15" s="41"/>
      <x:c r="T15" s="41"/>
      <x:c r="U15" s="41"/>
      <x:c r="V15" s="41"/>
      <x:c r="W15" s="41"/>
      <x:c r="X15" s="41"/>
      <x:c r="Y15" s="41"/>
      <x:c r="Z15" s="41"/>
    </x:row>
    <x:row r="16">
      <x:c r="A16" s="43"/>
      <x:c r="B16" s="43"/>
      <x:c r="C16" s="43"/>
      <x:c r="D16" s="43"/>
      <x:c r="E16" s="54" t="b">
        <x:v>0</x:v>
      </x:c>
      <x:c r="F16" s="54" t="b">
        <x:v>0</x:v>
      </x:c>
      <x:c r="G16" s="54" t="b">
        <x:v>0</x:v>
      </x:c>
      <x:c r="H16" s="54" t="b">
        <x:v>0</x:v>
      </x:c>
      <x:c r="I16" s="54" t="b">
        <x:v>0</x:v>
      </x:c>
      <x:c r="J16" s="43" t="n">
        <x:f>IF(B16="",0,IF(AND(E16=TRUE,F16=TRUE,G16=TRUE,H16=TRUE,I16=TRUE),1,0))</x:f>
        <x:v>0</x:v>
      </x:c>
      <x:c r="K16" s="43"/>
      <x:c r="L16" s="43"/>
      <x:c r="M16" s="43"/>
      <x:c r="N16" s="41"/>
      <x:c r="O16" s="41"/>
      <x:c r="P16" s="41"/>
      <x:c r="Q16" s="41"/>
      <x:c r="R16" s="41"/>
      <x:c r="S16" s="41"/>
      <x:c r="T16" s="41"/>
      <x:c r="U16" s="41"/>
      <x:c r="V16" s="41"/>
      <x:c r="W16" s="41"/>
      <x:c r="X16" s="41"/>
      <x:c r="Y16" s="41"/>
      <x:c r="Z16" s="41"/>
    </x:row>
    <x:row r="17">
      <x:c r="A17" s="43"/>
      <x:c r="B17" s="43"/>
      <x:c r="C17" s="43"/>
      <x:c r="D17" s="43"/>
      <x:c r="E17" s="54" t="b">
        <x:v>0</x:v>
      </x:c>
      <x:c r="F17" s="54" t="b">
        <x:v>0</x:v>
      </x:c>
      <x:c r="G17" s="54" t="b">
        <x:v>0</x:v>
      </x:c>
      <x:c r="H17" s="54" t="b">
        <x:v>0</x:v>
      </x:c>
      <x:c r="I17" s="54" t="b">
        <x:v>0</x:v>
      </x:c>
      <x:c r="J17" s="43" t="n">
        <x:f>IF(B17="",0,IF(AND(E17=TRUE,F17=TRUE,G17=TRUE,H17=TRUE,I17=TRUE),1,0))</x:f>
        <x:v>0</x:v>
      </x:c>
      <x:c r="K17" s="43"/>
      <x:c r="L17" s="43"/>
      <x:c r="M17" s="43"/>
      <x:c r="N17" s="41"/>
      <x:c r="O17" s="41"/>
      <x:c r="P17" s="41"/>
      <x:c r="Q17" s="41"/>
      <x:c r="R17" s="41"/>
      <x:c r="S17" s="41"/>
      <x:c r="T17" s="41"/>
      <x:c r="U17" s="41"/>
      <x:c r="V17" s="41"/>
      <x:c r="W17" s="41"/>
      <x:c r="X17" s="41"/>
      <x:c r="Y17" s="41"/>
      <x:c r="Z17" s="41"/>
    </x:row>
    <x:row r="18">
      <x:c r="A18" s="43"/>
      <x:c r="B18" s="43"/>
      <x:c r="C18" s="43"/>
      <x:c r="D18" s="43"/>
      <x:c r="E18" s="54" t="b">
        <x:v>0</x:v>
      </x:c>
      <x:c r="F18" s="54" t="b">
        <x:v>0</x:v>
      </x:c>
      <x:c r="G18" s="54" t="b">
        <x:v>0</x:v>
      </x:c>
      <x:c r="H18" s="54" t="b">
        <x:v>0</x:v>
      </x:c>
      <x:c r="I18" s="54" t="b">
        <x:v>0</x:v>
      </x:c>
      <x:c r="J18" s="43" t="n">
        <x:f>IF(B18="",0,IF(AND(E18=TRUE,F18=TRUE,G18=TRUE,H18=TRUE,I18=TRUE),1,0))</x:f>
        <x:v>0</x:v>
      </x:c>
      <x:c r="K18" s="43"/>
      <x:c r="L18" s="43"/>
      <x:c r="M18" s="43"/>
      <x:c r="N18" s="41"/>
      <x:c r="O18" s="41"/>
      <x:c r="P18" s="41"/>
      <x:c r="Q18" s="41"/>
      <x:c r="R18" s="41"/>
      <x:c r="S18" s="41"/>
      <x:c r="T18" s="41"/>
      <x:c r="U18" s="41"/>
      <x:c r="V18" s="41"/>
      <x:c r="W18" s="41"/>
      <x:c r="X18" s="41"/>
      <x:c r="Y18" s="41"/>
      <x:c r="Z18" s="41"/>
    </x:row>
    <x:row r="19">
      <x:c r="A19" s="43"/>
      <x:c r="B19" s="43"/>
      <x:c r="C19" s="43"/>
      <x:c r="D19" s="43"/>
      <x:c r="E19" s="54" t="b">
        <x:v>0</x:v>
      </x:c>
      <x:c r="F19" s="54" t="b">
        <x:v>0</x:v>
      </x:c>
      <x:c r="G19" s="54" t="b">
        <x:v>0</x:v>
      </x:c>
      <x:c r="H19" s="54" t="b">
        <x:v>0</x:v>
      </x:c>
      <x:c r="I19" s="54" t="b">
        <x:v>0</x:v>
      </x:c>
      <x:c r="J19" s="43" t="n">
        <x:f>IF(B19="",0,IF(AND(E19=TRUE,F19=TRUE,G19=TRUE,H19=TRUE,I19=TRUE),1,0))</x:f>
        <x:v>0</x:v>
      </x:c>
      <x:c r="K19" s="43"/>
      <x:c r="L19" s="43"/>
      <x:c r="M19" s="43"/>
      <x:c r="N19" s="41"/>
      <x:c r="O19" s="41"/>
      <x:c r="P19" s="41"/>
      <x:c r="Q19" s="41"/>
      <x:c r="R19" s="41"/>
      <x:c r="S19" s="41"/>
      <x:c r="T19" s="41"/>
      <x:c r="U19" s="41"/>
      <x:c r="V19" s="41"/>
      <x:c r="W19" s="41"/>
      <x:c r="X19" s="41"/>
      <x:c r="Y19" s="41"/>
      <x:c r="Z19" s="41"/>
    </x:row>
    <x:row r="20">
      <x:c r="A20" s="43"/>
      <x:c r="B20" s="43"/>
      <x:c r="C20" s="43"/>
      <x:c r="D20" s="43"/>
      <x:c r="E20" s="54" t="b">
        <x:v>0</x:v>
      </x:c>
      <x:c r="F20" s="54" t="b">
        <x:v>0</x:v>
      </x:c>
      <x:c r="G20" s="54" t="b">
        <x:v>0</x:v>
      </x:c>
      <x:c r="H20" s="54" t="b">
        <x:v>0</x:v>
      </x:c>
      <x:c r="I20" s="54" t="b">
        <x:v>0</x:v>
      </x:c>
      <x:c r="J20" s="43" t="n">
        <x:f>IF(B20="",0,IF(AND(E20=TRUE,F20=TRUE,G20=TRUE,H20=TRUE,I20=TRUE),1,0))</x:f>
        <x:v>0</x:v>
      </x:c>
      <x:c r="K20" s="43"/>
      <x:c r="L20" s="43"/>
      <x:c r="M20" s="43"/>
      <x:c r="N20" s="41"/>
      <x:c r="O20" s="41"/>
      <x:c r="P20" s="41"/>
      <x:c r="Q20" s="41"/>
      <x:c r="R20" s="41"/>
      <x:c r="S20" s="41"/>
      <x:c r="T20" s="41"/>
      <x:c r="U20" s="41"/>
      <x:c r="V20" s="41"/>
      <x:c r="W20" s="41"/>
      <x:c r="X20" s="41"/>
      <x:c r="Y20" s="41"/>
      <x:c r="Z20" s="41"/>
    </x:row>
    <x:row r="21">
      <x:c r="A21" s="43"/>
      <x:c r="B21" s="43"/>
      <x:c r="C21" s="43"/>
      <x:c r="D21" s="43"/>
      <x:c r="E21" s="54" t="b">
        <x:v>0</x:v>
      </x:c>
      <x:c r="F21" s="54" t="b">
        <x:v>0</x:v>
      </x:c>
      <x:c r="G21" s="54" t="b">
        <x:v>0</x:v>
      </x:c>
      <x:c r="H21" s="54" t="b">
        <x:v>0</x:v>
      </x:c>
      <x:c r="I21" s="54" t="b">
        <x:v>0</x:v>
      </x:c>
      <x:c r="J21" s="43" t="n">
        <x:f>IF(B21="",0,IF(AND(E21=TRUE,F21=TRUE,G21=TRUE,H21=TRUE,I21=TRUE),1,0))</x:f>
        <x:v>0</x:v>
      </x:c>
      <x:c r="K21" s="43"/>
      <x:c r="L21" s="43"/>
      <x:c r="M21" s="43"/>
      <x:c r="N21" s="41"/>
      <x:c r="O21" s="41"/>
      <x:c r="P21" s="41"/>
      <x:c r="Q21" s="41"/>
      <x:c r="R21" s="41"/>
      <x:c r="S21" s="41"/>
      <x:c r="T21" s="41"/>
      <x:c r="U21" s="41"/>
      <x:c r="V21" s="41"/>
      <x:c r="W21" s="41"/>
      <x:c r="X21" s="41"/>
      <x:c r="Y21" s="41"/>
      <x:c r="Z21" s="41"/>
    </x:row>
    <x:row r="22">
      <x:c r="A22" s="43"/>
      <x:c r="B22" s="43"/>
      <x:c r="C22" s="43"/>
      <x:c r="D22" s="43"/>
      <x:c r="E22" s="54" t="b">
        <x:v>0</x:v>
      </x:c>
      <x:c r="F22" s="54" t="b">
        <x:v>0</x:v>
      </x:c>
      <x:c r="G22" s="54" t="b">
        <x:v>0</x:v>
      </x:c>
      <x:c r="H22" s="54" t="b">
        <x:v>0</x:v>
      </x:c>
      <x:c r="I22" s="54" t="b">
        <x:v>0</x:v>
      </x:c>
      <x:c r="J22" s="43" t="n">
        <x:f>IF(B22="",0,IF(AND(E22=TRUE,F22=TRUE,G22=TRUE,H22=TRUE,I22=TRUE),1,0))</x:f>
        <x:v>0</x:v>
      </x:c>
      <x:c r="K22" s="43"/>
      <x:c r="L22" s="43"/>
      <x:c r="M22" s="43"/>
      <x:c r="N22" s="41"/>
      <x:c r="O22" s="41"/>
      <x:c r="P22" s="41"/>
      <x:c r="Q22" s="41"/>
      <x:c r="R22" s="41"/>
      <x:c r="S22" s="41"/>
      <x:c r="T22" s="41"/>
      <x:c r="U22" s="41"/>
      <x:c r="V22" s="41"/>
      <x:c r="W22" s="41"/>
      <x:c r="X22" s="41"/>
      <x:c r="Y22" s="41"/>
      <x:c r="Z22" s="41"/>
    </x:row>
    <x:row r="23">
      <x:c r="A23" s="43"/>
      <x:c r="B23" s="43"/>
      <x:c r="C23" s="43"/>
      <x:c r="D23" s="43"/>
      <x:c r="E23" s="54" t="b">
        <x:v>0</x:v>
      </x:c>
      <x:c r="F23" s="54" t="b">
        <x:v>0</x:v>
      </x:c>
      <x:c r="G23" s="54" t="b">
        <x:v>0</x:v>
      </x:c>
      <x:c r="H23" s="54" t="b">
        <x:v>0</x:v>
      </x:c>
      <x:c r="I23" s="54" t="b">
        <x:v>0</x:v>
      </x:c>
      <x:c r="J23" s="43" t="n">
        <x:f>IF(B23="",0,IF(AND(E23=TRUE,F23=TRUE,G23=TRUE,H23=TRUE,I23=TRUE),1,0))</x:f>
        <x:v>0</x:v>
      </x:c>
      <x:c r="K23" s="43"/>
      <x:c r="L23" s="43"/>
      <x:c r="M23" s="43"/>
      <x:c r="N23" s="41"/>
      <x:c r="O23" s="41"/>
      <x:c r="P23" s="41"/>
      <x:c r="Q23" s="41"/>
      <x:c r="R23" s="41"/>
      <x:c r="S23" s="41"/>
      <x:c r="T23" s="41"/>
      <x:c r="U23" s="41"/>
      <x:c r="V23" s="41"/>
      <x:c r="W23" s="41"/>
      <x:c r="X23" s="41"/>
      <x:c r="Y23" s="41"/>
      <x:c r="Z23" s="41"/>
    </x:row>
    <x:row r="24">
      <x:c r="A24" s="43"/>
      <x:c r="B24" s="43"/>
      <x:c r="C24" s="43"/>
      <x:c r="D24" s="43"/>
      <x:c r="E24" s="54" t="b">
        <x:v>0</x:v>
      </x:c>
      <x:c r="F24" s="54" t="b">
        <x:v>0</x:v>
      </x:c>
      <x:c r="G24" s="54" t="b">
        <x:v>0</x:v>
      </x:c>
      <x:c r="H24" s="54" t="b">
        <x:v>0</x:v>
      </x:c>
      <x:c r="I24" s="54" t="b">
        <x:v>0</x:v>
      </x:c>
      <x:c r="J24" s="43" t="n">
        <x:f>IF(B24="",0,IF(AND(E24=TRUE,F24=TRUE,G24=TRUE,H24=TRUE,I24=TRUE),1,0))</x:f>
        <x:v>0</x:v>
      </x:c>
      <x:c r="K24" s="43"/>
      <x:c r="L24" s="43"/>
      <x:c r="M24" s="43"/>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M2"/>
  </x:mergeCells>
  <x:dataValidations count="1">
    <x:dataValidation type="list" sqref="D5:D24">
      <x:formula1>_Lists!$F$2:$F$6</x:formula1>
    </x:dataValidation>
  </x:dataValidations>
  <x:pageMargins left="0.7" right="0.7" top="0.75" bottom="0.75" header="0.3" footer="0.3"/>
  <x:tableParts count="1">
    <x:tablePart xmlns:r="http://schemas.openxmlformats.org/officeDocument/2006/relationships" r:id="Rccefd8abeb9b4247"/>
  </x:tableParts>
</x:worksheet>
</file>

<file path=xl/worksheets/sheet10.xml><?xml version="1.0" encoding="utf-8"?>
<x:worksheet xmlns:x="http://schemas.openxmlformats.org/spreadsheetml/2006/main">
  <x:sheetFormatPr defaultRowHeight="15"/>
  <x:cols>
    <x:col min="1" max="1" width="34" hidden="0" customWidth="1"/>
    <x:col min="2" max="2" width="18" hidden="0" customWidth="1"/>
    <x:col min="4" max="4" width="18" hidden="0" customWidth="1"/>
    <x:col min="5" max="5" width="58" hidden="0" customWidth="1"/>
    <x:col min="6" max="6" width="45" hidden="0" customWidth="1"/>
    <x:col min="7" max="7" width="24" hidden="0" customWidth="1"/>
    <x:col min="8" max="8" width="14" hidden="0" customWidth="1"/>
  </x:cols>
  <x:sheetData>
    <x:row r="1">
      <x:c r="A1" s="40" t="str">
        <x:v>لوحة الضمان المستمر والتوسع</x:v>
      </x:c>
      <x:c r="B1" s="40"/>
      <x:c r="C1" s="40"/>
      <x:c r="D1" s="40"/>
      <x:c r="E1" s="40"/>
      <x:c r="F1" s="40"/>
      <x:c r="G1" s="40"/>
      <x:c r="H1" s="40"/>
      <x:c r="I1" s="41"/>
      <x:c r="J1" s="41"/>
      <x:c r="K1" s="41"/>
      <x:c r="L1" s="41"/>
      <x:c r="M1" s="41"/>
      <x:c r="N1" s="41"/>
      <x:c r="O1" s="41"/>
      <x:c r="P1" s="41"/>
      <x:c r="Q1" s="41"/>
      <x:c r="R1" s="41"/>
      <x:c r="S1" s="41"/>
      <x:c r="T1" s="41"/>
      <x:c r="U1" s="41"/>
      <x:c r="V1" s="41"/>
      <x:c r="W1" s="41"/>
      <x:c r="X1" s="41"/>
      <x:c r="Y1" s="41"/>
      <x:c r="Z1" s="41"/>
    </x:row>
    <x:row r="2">
      <x:c r="A2" s="40"/>
      <x:c r="B2" s="40"/>
      <x:c r="C2" s="40"/>
      <x:c r="D2" s="40"/>
      <x:c r="E2" s="40"/>
      <x:c r="F2" s="40"/>
      <x:c r="G2" s="40"/>
      <x:c r="H2" s="40"/>
      <x:c r="I2" s="41"/>
      <x:c r="J2" s="41"/>
      <x:c r="K2" s="41"/>
      <x:c r="L2" s="41"/>
      <x:c r="M2" s="41"/>
      <x:c r="N2" s="41"/>
      <x:c r="O2" s="41"/>
      <x:c r="P2" s="41"/>
      <x:c r="Q2" s="41"/>
      <x:c r="R2" s="41"/>
      <x:c r="S2" s="41"/>
      <x:c r="T2" s="41"/>
      <x:c r="U2" s="41"/>
      <x:c r="V2" s="41"/>
      <x:c r="W2" s="41"/>
      <x:c r="X2" s="41"/>
      <x:c r="Y2" s="41"/>
      <x:c r="Z2" s="41"/>
    </x:row>
    <x:row r="3">
      <x:c r="A3" s="41"/>
      <x:c r="B3" s="41"/>
      <x:c r="C3" s="41"/>
      <x:c r="D3" s="41"/>
      <x:c r="E3" s="41"/>
      <x:c r="F3" s="41"/>
      <x:c r="G3" s="41"/>
      <x:c r="H3" s="41"/>
      <x:c r="I3" s="41"/>
      <x:c r="J3" s="41"/>
      <x:c r="K3" s="41"/>
      <x:c r="L3" s="41"/>
      <x:c r="M3" s="41"/>
      <x:c r="N3" s="41"/>
      <x:c r="O3" s="41"/>
      <x:c r="P3" s="41"/>
      <x:c r="Q3" s="41"/>
      <x:c r="R3" s="41"/>
      <x:c r="S3" s="41"/>
      <x:c r="T3" s="41"/>
      <x:c r="U3" s="41"/>
      <x:c r="V3" s="41"/>
      <x:c r="W3" s="41"/>
      <x:c r="X3" s="41"/>
      <x:c r="Y3" s="41"/>
      <x:c r="Z3" s="41"/>
    </x:row>
    <x:row r="4">
      <x:c r="A4" s="50" t="str">
        <x:v>Indicator</x:v>
      </x:c>
      <x:c r="B4" s="50" t="str">
        <x:v>Value</x:v>
      </x:c>
      <x:c r="C4" s="43"/>
      <x:c r="D4" s="50" t="str">
        <x:v>Decision</x:v>
      </x:c>
      <x:c r="E4" s="50" t="str">
        <x:v>Rationale</x:v>
      </x:c>
      <x:c r="F4" s="50" t="str">
        <x:v>Conditions</x:v>
      </x:c>
      <x:c r="G4" s="50" t="str">
        <x:v>Approved By</x:v>
      </x:c>
      <x:c r="H4" s="50" t="str">
        <x:v>Date</x:v>
      </x:c>
      <x:c r="I4" s="41"/>
      <x:c r="J4" s="41"/>
      <x:c r="K4" s="41"/>
      <x:c r="L4" s="41"/>
      <x:c r="M4" s="41"/>
      <x:c r="N4" s="41"/>
      <x:c r="O4" s="41"/>
      <x:c r="P4" s="41"/>
      <x:c r="Q4" s="41"/>
      <x:c r="R4" s="41"/>
      <x:c r="S4" s="41"/>
      <x:c r="T4" s="41"/>
      <x:c r="U4" s="41"/>
      <x:c r="V4" s="41"/>
      <x:c r="W4" s="41"/>
      <x:c r="X4" s="41"/>
      <x:c r="Y4" s="41"/>
      <x:c r="Z4" s="41"/>
    </x:row>
    <x:row r="5">
      <x:c r="A5" s="43" t="str">
        <x:v>Active Programs</x:v>
      </x:c>
      <x:c r="B5" s="43" t="n">
        <x:f>COUNTIF(Programs!D5:D20,"Active")</x:f>
        <x:v>1</x:v>
      </x:c>
      <x:c r="C5" s="43"/>
      <x:c r="D5" s="43" t="str">
        <x:v>Continue</x:v>
      </x:c>
      <x:c r="E5" s="43"/>
      <x:c r="F5" s="43"/>
      <x:c r="G5" s="43"/>
      <x:c r="H5" s="51"/>
      <x:c r="I5" s="41"/>
      <x:c r="J5" s="41"/>
      <x:c r="K5" s="41"/>
      <x:c r="L5" s="41"/>
      <x:c r="M5" s="41"/>
      <x:c r="N5" s="41"/>
      <x:c r="O5" s="41"/>
      <x:c r="P5" s="41"/>
      <x:c r="Q5" s="41"/>
      <x:c r="R5" s="41"/>
      <x:c r="S5" s="41"/>
      <x:c r="T5" s="41"/>
      <x:c r="U5" s="41"/>
      <x:c r="V5" s="41"/>
      <x:c r="W5" s="41"/>
      <x:c r="X5" s="41"/>
      <x:c r="Y5" s="41"/>
      <x:c r="Z5" s="41"/>
    </x:row>
    <x:row r="6">
      <x:c r="A6" s="43" t="str">
        <x:v>Active Controls</x:v>
      </x:c>
      <x:c r="B6" s="43" t="n">
        <x:v>48</x:v>
      </x:c>
      <x:c r="C6" s="43"/>
      <x:c r="D6" s="43"/>
      <x:c r="E6" s="43"/>
      <x:c r="F6" s="43"/>
      <x:c r="G6" s="43"/>
      <x:c r="H6" s="43"/>
      <x:c r="I6" s="41"/>
      <x:c r="J6" s="41"/>
      <x:c r="K6" s="41"/>
      <x:c r="L6" s="41"/>
      <x:c r="M6" s="41"/>
      <x:c r="N6" s="41"/>
      <x:c r="O6" s="41"/>
      <x:c r="P6" s="41"/>
      <x:c r="Q6" s="41"/>
      <x:c r="R6" s="41"/>
      <x:c r="S6" s="41"/>
      <x:c r="T6" s="41"/>
      <x:c r="U6" s="41"/>
      <x:c r="V6" s="41"/>
      <x:c r="W6" s="41"/>
      <x:c r="X6" s="41"/>
      <x:c r="Y6" s="41"/>
      <x:c r="Z6" s="41"/>
    </x:row>
    <x:row r="7">
      <x:c r="A7" s="43" t="str">
        <x:v>ESR Controls</x:v>
      </x:c>
      <x:c r="B7" s="43" t="n">
        <x:f>COUNTIF(Control_Register!D5:D52,"MM.5")+COUNTIF(Control_Register!D5:D52,"MM.6")+COUNTIF(Control_Register!D5:D52,"MM.41")</x:f>
        <x:v>19</x:v>
      </x:c>
      <x:c r="C7" s="43"/>
      <x:c r="D7" s="43"/>
      <x:c r="E7" s="43"/>
      <x:c r="F7" s="43"/>
      <x:c r="G7" s="43"/>
      <x:c r="H7" s="43"/>
      <x:c r="I7" s="41"/>
      <x:c r="J7" s="41"/>
      <x:c r="K7" s="41"/>
      <x:c r="L7" s="41"/>
      <x:c r="M7" s="41"/>
      <x:c r="N7" s="41"/>
      <x:c r="O7" s="41"/>
      <x:c r="P7" s="41"/>
      <x:c r="Q7" s="41"/>
      <x:c r="R7" s="41"/>
      <x:c r="S7" s="41"/>
      <x:c r="T7" s="41"/>
      <x:c r="U7" s="41"/>
      <x:c r="V7" s="41"/>
      <x:c r="W7" s="41"/>
      <x:c r="X7" s="41"/>
      <x:c r="Y7" s="41"/>
      <x:c r="Z7" s="41"/>
    </x:row>
    <x:row r="8">
      <x:c r="A8" s="43" t="str">
        <x:v>Completed Tasks</x:v>
      </x:c>
      <x:c r="B8" s="43" t="n">
        <x:f>COUNTIF(Assurance_Tasks!H5:H52,"Completed")</x:f>
        <x:v>0</x:v>
      </x:c>
      <x:c r="C8" s="43"/>
      <x:c r="D8" s="43"/>
      <x:c r="E8" s="43"/>
      <x:c r="F8" s="43"/>
      <x:c r="G8" s="43"/>
      <x:c r="H8" s="43"/>
      <x:c r="I8" s="41"/>
      <x:c r="J8" s="41"/>
      <x:c r="K8" s="41"/>
      <x:c r="L8" s="41"/>
      <x:c r="M8" s="41"/>
      <x:c r="N8" s="41"/>
      <x:c r="O8" s="41"/>
      <x:c r="P8" s="41"/>
      <x:c r="Q8" s="41"/>
      <x:c r="R8" s="41"/>
      <x:c r="S8" s="41"/>
      <x:c r="T8" s="41"/>
      <x:c r="U8" s="41"/>
      <x:c r="V8" s="41"/>
      <x:c r="W8" s="41"/>
      <x:c r="X8" s="41"/>
      <x:c r="Y8" s="41"/>
      <x:c r="Z8" s="41"/>
    </x:row>
    <x:row r="9">
      <x:c r="A9" s="43" t="str">
        <x:v>Failed Tasks</x:v>
      </x:c>
      <x:c r="B9" s="43" t="n">
        <x:f>COUNTIF(Assurance_Tasks!I5:I52,"Fail")</x:f>
        <x:v>0</x:v>
      </x:c>
      <x:c r="C9" s="43"/>
      <x:c r="D9" s="43"/>
      <x:c r="E9" s="43"/>
      <x:c r="F9" s="43"/>
      <x:c r="G9" s="43"/>
      <x:c r="H9" s="43"/>
      <x:c r="I9" s="41"/>
      <x:c r="J9" s="41"/>
      <x:c r="K9" s="41"/>
      <x:c r="L9" s="41"/>
      <x:c r="M9" s="41"/>
      <x:c r="N9" s="41"/>
      <x:c r="O9" s="41"/>
      <x:c r="P9" s="41"/>
      <x:c r="Q9" s="41"/>
      <x:c r="R9" s="41"/>
      <x:c r="S9" s="41"/>
      <x:c r="T9" s="41"/>
      <x:c r="U9" s="41"/>
      <x:c r="V9" s="41"/>
      <x:c r="W9" s="41"/>
      <x:c r="X9" s="41"/>
      <x:c r="Y9" s="41"/>
      <x:c r="Z9" s="41"/>
    </x:row>
    <x:row r="10">
      <x:c r="A10" s="43" t="str">
        <x:v>Pending Tasks</x:v>
      </x:c>
      <x:c r="B10" s="43" t="n">
        <x:f>COUNTIF(Assurance_Tasks!H5:H52,"Pending")+COUNTIF(Assurance_Tasks!H5:H52,"InProgress")</x:f>
        <x:v>48</x:v>
      </x:c>
      <x:c r="C10" s="43"/>
      <x:c r="D10" s="43"/>
      <x:c r="E10" s="43"/>
      <x:c r="F10" s="43"/>
      <x:c r="G10" s="43"/>
      <x:c r="H10" s="43"/>
      <x:c r="I10" s="41"/>
      <x:c r="J10" s="41"/>
      <x:c r="K10" s="41"/>
      <x:c r="L10" s="41"/>
      <x:c r="M10" s="41"/>
      <x:c r="N10" s="41"/>
      <x:c r="O10" s="41"/>
      <x:c r="P10" s="41"/>
      <x:c r="Q10" s="41"/>
      <x:c r="R10" s="41"/>
      <x:c r="S10" s="41"/>
      <x:c r="T10" s="41"/>
      <x:c r="U10" s="41"/>
      <x:c r="V10" s="41"/>
      <x:c r="W10" s="41"/>
      <x:c r="X10" s="41"/>
      <x:c r="Y10" s="41"/>
      <x:c r="Z10" s="41"/>
    </x:row>
    <x:row r="11">
      <x:c r="A11" s="43" t="str">
        <x:v>Open DQ Issues</x:v>
      </x:c>
      <x:c r="B11" s="43" t="n">
        <x:f>COUNTIF(DQ_Issues!H5:H34,"Open")+COUNTIF(DQ_Issues!H5:H34,"Acknowledged")</x:f>
        <x:v>0</x:v>
      </x:c>
      <x:c r="C11" s="43"/>
      <x:c r="D11" s="43"/>
      <x:c r="E11" s="43"/>
      <x:c r="F11" s="43"/>
      <x:c r="G11" s="43"/>
      <x:c r="H11" s="43"/>
      <x:c r="I11" s="41"/>
      <x:c r="J11" s="41"/>
      <x:c r="K11" s="41"/>
      <x:c r="L11" s="41"/>
      <x:c r="M11" s="41"/>
      <x:c r="N11" s="41"/>
      <x:c r="O11" s="41"/>
      <x:c r="P11" s="41"/>
      <x:c r="Q11" s="41"/>
      <x:c r="R11" s="41"/>
      <x:c r="S11" s="41"/>
      <x:c r="T11" s="41"/>
      <x:c r="U11" s="41"/>
      <x:c r="V11" s="41"/>
      <x:c r="W11" s="41"/>
      <x:c r="X11" s="41"/>
      <x:c r="Y11" s="41"/>
      <x:c r="Z11" s="41"/>
    </x:row>
    <x:row r="12">
      <x:c r="A12" s="43" t="str">
        <x:v>P0/P1 DQ Issues</x:v>
      </x:c>
      <x:c r="B12" s="43" t="n">
        <x:f>COUNTIFS(DQ_Issues!H5:H34,"&lt;&gt;Closed",DQ_Issues!G5:G34,"P0")+COUNTIFS(DQ_Issues!H5:H34,"&lt;&gt;Closed",DQ_Issues!G5:G34,"P1")</x:f>
        <x:v>0</x:v>
      </x:c>
      <x:c r="C12" s="43"/>
      <x:c r="D12" s="43"/>
      <x:c r="E12" s="43"/>
      <x:c r="F12" s="43"/>
      <x:c r="G12" s="43"/>
      <x:c r="H12" s="43"/>
      <x:c r="I12" s="41"/>
      <x:c r="J12" s="41"/>
      <x:c r="K12" s="41"/>
      <x:c r="L12" s="41"/>
      <x:c r="M12" s="41"/>
      <x:c r="N12" s="41"/>
      <x:c r="O12" s="41"/>
      <x:c r="P12" s="41"/>
      <x:c r="Q12" s="41"/>
      <x:c r="R12" s="41"/>
      <x:c r="S12" s="41"/>
      <x:c r="T12" s="41"/>
      <x:c r="U12" s="41"/>
      <x:c r="V12" s="41"/>
      <x:c r="W12" s="41"/>
      <x:c r="X12" s="41"/>
      <x:c r="Y12" s="41"/>
      <x:c r="Z12" s="41"/>
    </x:row>
    <x:row r="13">
      <x:c r="A13" s="43" t="str">
        <x:v>Rollout Sites</x:v>
      </x:c>
      <x:c r="B13" s="43" t="n">
        <x:f>COUNTIF(Rollout_Sites!B5:B24,"?*")</x:f>
        <x:v>0</x:v>
      </x:c>
      <x:c r="C13" s="43"/>
      <x:c r="D13" s="43"/>
      <x:c r="E13" s="43"/>
      <x:c r="F13" s="43"/>
      <x:c r="G13" s="43"/>
      <x:c r="H13" s="43"/>
      <x:c r="I13" s="41"/>
      <x:c r="J13" s="41"/>
      <x:c r="K13" s="41"/>
      <x:c r="L13" s="41"/>
      <x:c r="M13" s="41"/>
      <x:c r="N13" s="41"/>
      <x:c r="O13" s="41"/>
      <x:c r="P13" s="41"/>
      <x:c r="Q13" s="41"/>
      <x:c r="R13" s="41"/>
      <x:c r="S13" s="41"/>
      <x:c r="T13" s="41"/>
      <x:c r="U13" s="41"/>
      <x:c r="V13" s="41"/>
      <x:c r="W13" s="41"/>
      <x:c r="X13" s="41"/>
      <x:c r="Y13" s="41"/>
      <x:c r="Z13" s="41"/>
    </x:row>
    <x:row r="14">
      <x:c r="A14" s="43" t="str">
        <x:v>Rollout Sites Ready</x:v>
      </x:c>
      <x:c r="B14" s="43" t="n">
        <x:f>SUM(Rollout_Sites!J5:J24)</x:f>
        <x:v>0</x:v>
      </x:c>
      <x:c r="C14" s="43"/>
      <x:c r="D14" s="43"/>
      <x:c r="E14" s="43"/>
      <x:c r="F14" s="43"/>
      <x:c r="G14" s="43"/>
      <x:c r="H14" s="43"/>
      <x:c r="I14" s="41"/>
      <x:c r="J14" s="41"/>
      <x:c r="K14" s="41"/>
      <x:c r="L14" s="41"/>
      <x:c r="M14" s="41"/>
      <x:c r="N14" s="41"/>
      <x:c r="O14" s="41"/>
      <x:c r="P14" s="41"/>
      <x:c r="Q14" s="41"/>
      <x:c r="R14" s="41"/>
      <x:c r="S14" s="41"/>
      <x:c r="T14" s="41"/>
      <x:c r="U14" s="41"/>
      <x:c r="V14" s="41"/>
      <x:c r="W14" s="41"/>
      <x:c r="X14" s="41"/>
      <x:c r="Y14" s="41"/>
      <x:c r="Z14" s="41"/>
    </x:row>
    <x:row r="15">
      <x:c r="A15" s="43" t="str">
        <x:v>Continuous Assurance Ready</x:v>
      </x:c>
      <x:c r="B15" s="43" t="str">
        <x:f>IF(AND(B5&gt;0,B9=0,B10=0,B11=0),"YES","NO")</x:f>
        <x:v>NO</x:v>
      </x:c>
      <x:c r="C15" s="43"/>
      <x:c r="D15" s="43"/>
      <x:c r="E15" s="43"/>
      <x:c r="F15" s="43"/>
      <x:c r="G15" s="43"/>
      <x:c r="H15" s="43"/>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A121" s="41"/>
      <x:c r="B121" s="41"/>
      <x:c r="C121" s="41"/>
      <x:c r="D121" s="41"/>
      <x:c r="E121" s="41"/>
      <x:c r="F121" s="41"/>
      <x:c r="G121" s="41"/>
      <x:c r="H121" s="41"/>
      <x:c r="I121" s="41"/>
      <x:c r="J121" s="41"/>
      <x:c r="K121" s="41"/>
      <x:c r="L121" s="41"/>
      <x:c r="M121" s="41"/>
      <x:c r="N121" s="41"/>
      <x:c r="O121" s="41"/>
      <x:c r="P121" s="41"/>
      <x:c r="Q121" s="41"/>
      <x:c r="R121" s="41"/>
      <x:c r="S121" s="41"/>
      <x:c r="T121" s="41"/>
      <x:c r="U121" s="41"/>
      <x:c r="V121" s="41"/>
      <x:c r="W121" s="41"/>
      <x:c r="X121" s="41"/>
      <x:c r="Y121" s="41"/>
      <x:c r="Z121" s="41"/>
    </x:row>
    <x:row r="122">
      <x:c r="A122" s="41"/>
      <x:c r="B122" s="41"/>
      <x:c r="C122" s="41"/>
      <x:c r="D122" s="41"/>
      <x:c r="E122" s="41"/>
      <x:c r="F122" s="41"/>
      <x:c r="G122" s="41"/>
      <x:c r="H122" s="41"/>
      <x:c r="I122" s="41"/>
      <x:c r="J122" s="41"/>
      <x:c r="K122" s="41"/>
      <x:c r="L122" s="41"/>
      <x:c r="M122" s="41"/>
      <x:c r="N122" s="41"/>
      <x:c r="O122" s="41"/>
      <x:c r="P122" s="41"/>
      <x:c r="Q122" s="41"/>
      <x:c r="R122" s="41"/>
      <x:c r="S122" s="41"/>
      <x:c r="T122" s="41"/>
      <x:c r="U122" s="41"/>
      <x:c r="V122" s="41"/>
      <x:c r="W122" s="41"/>
      <x:c r="X122" s="41"/>
      <x:c r="Y122" s="41"/>
      <x:c r="Z122" s="41"/>
    </x:row>
    <x:row r="123">
      <x:c r="A123" s="41"/>
      <x:c r="B123" s="41"/>
      <x:c r="C123" s="41"/>
      <x:c r="D123" s="41"/>
      <x:c r="E123" s="41"/>
      <x:c r="F123" s="41"/>
      <x:c r="G123" s="41"/>
      <x:c r="H123" s="41"/>
      <x:c r="I123" s="41"/>
      <x:c r="J123" s="41"/>
      <x:c r="K123" s="41"/>
      <x:c r="L123" s="41"/>
      <x:c r="M123" s="41"/>
      <x:c r="N123" s="41"/>
      <x:c r="O123" s="41"/>
      <x:c r="P123" s="41"/>
      <x:c r="Q123" s="41"/>
      <x:c r="R123" s="41"/>
      <x:c r="S123" s="41"/>
      <x:c r="T123" s="41"/>
      <x:c r="U123" s="41"/>
      <x:c r="V123" s="41"/>
      <x:c r="W123" s="41"/>
      <x:c r="X123" s="41"/>
      <x:c r="Y123" s="41"/>
      <x:c r="Z123" s="41"/>
    </x:row>
    <x:row r="124">
      <x:c r="A124" s="41"/>
      <x:c r="B124" s="41"/>
      <x:c r="C124" s="41"/>
      <x:c r="D124" s="41"/>
      <x:c r="E124" s="41"/>
      <x:c r="F124" s="41"/>
      <x:c r="G124" s="41"/>
      <x:c r="H124" s="41"/>
      <x:c r="I124" s="41"/>
      <x:c r="J124" s="41"/>
      <x:c r="K124" s="41"/>
      <x:c r="L124" s="41"/>
      <x:c r="M124" s="41"/>
      <x:c r="N124" s="41"/>
      <x:c r="O124" s="41"/>
      <x:c r="P124" s="41"/>
      <x:c r="Q124" s="41"/>
      <x:c r="R124" s="41"/>
      <x:c r="S124" s="41"/>
      <x:c r="T124" s="41"/>
      <x:c r="U124" s="41"/>
      <x:c r="V124" s="41"/>
      <x:c r="W124" s="41"/>
      <x:c r="X124" s="41"/>
      <x:c r="Y124" s="41"/>
      <x:c r="Z124" s="41"/>
    </x:row>
    <x:row r="125">
      <x:c r="A125" s="41"/>
      <x:c r="B125" s="41"/>
      <x:c r="C125" s="41"/>
      <x:c r="D125" s="41"/>
      <x:c r="E125" s="41"/>
      <x:c r="F125" s="41"/>
      <x:c r="G125" s="41"/>
      <x:c r="H125" s="41"/>
      <x:c r="I125" s="41"/>
      <x:c r="J125" s="41"/>
      <x:c r="K125" s="41"/>
      <x:c r="L125" s="41"/>
      <x:c r="M125" s="41"/>
      <x:c r="N125" s="41"/>
      <x:c r="O125" s="41"/>
      <x:c r="P125" s="41"/>
      <x:c r="Q125" s="41"/>
      <x:c r="R125" s="41"/>
      <x:c r="S125" s="41"/>
      <x:c r="T125" s="41"/>
      <x:c r="U125" s="41"/>
      <x:c r="V125" s="41"/>
      <x:c r="W125" s="41"/>
      <x:c r="X125" s="41"/>
      <x:c r="Y125" s="41"/>
      <x:c r="Z125" s="41"/>
    </x:row>
    <x:row r="126">
      <x:c r="A126" s="41"/>
      <x:c r="B126" s="41"/>
      <x:c r="C126" s="41"/>
      <x:c r="D126" s="41"/>
      <x:c r="E126" s="41"/>
      <x:c r="F126" s="41"/>
      <x:c r="G126" s="41"/>
      <x:c r="H126" s="41"/>
      <x:c r="I126" s="41"/>
      <x:c r="J126" s="41"/>
      <x:c r="K126" s="41"/>
      <x:c r="L126" s="41"/>
      <x:c r="M126" s="41"/>
      <x:c r="N126" s="41"/>
      <x:c r="O126" s="41"/>
      <x:c r="P126" s="41"/>
      <x:c r="Q126" s="41"/>
      <x:c r="R126" s="41"/>
      <x:c r="S126" s="41"/>
      <x:c r="T126" s="41"/>
      <x:c r="U126" s="41"/>
      <x:c r="V126" s="41"/>
      <x:c r="W126" s="41"/>
      <x:c r="X126" s="41"/>
      <x:c r="Y126" s="41"/>
      <x:c r="Z126" s="41"/>
    </x:row>
    <x:row r="127">
      <x:c r="A127" s="41"/>
      <x:c r="B127" s="41"/>
      <x:c r="C127" s="41"/>
      <x:c r="D127" s="41"/>
      <x:c r="E127" s="41"/>
      <x:c r="F127" s="41"/>
      <x:c r="G127" s="41"/>
      <x:c r="H127" s="41"/>
      <x:c r="I127" s="41"/>
      <x:c r="J127" s="41"/>
      <x:c r="K127" s="41"/>
      <x:c r="L127" s="41"/>
      <x:c r="M127" s="41"/>
      <x:c r="N127" s="41"/>
      <x:c r="O127" s="41"/>
      <x:c r="P127" s="41"/>
      <x:c r="Q127" s="41"/>
      <x:c r="R127" s="41"/>
      <x:c r="S127" s="41"/>
      <x:c r="T127" s="41"/>
      <x:c r="U127" s="41"/>
      <x:c r="V127" s="41"/>
      <x:c r="W127" s="41"/>
      <x:c r="X127" s="41"/>
      <x:c r="Y127" s="41"/>
      <x:c r="Z127" s="41"/>
    </x:row>
    <x:row r="128">
      <x:c r="A128" s="41"/>
      <x:c r="B128" s="41"/>
      <x:c r="C128" s="41"/>
      <x:c r="D128" s="41"/>
      <x:c r="E128" s="41"/>
      <x:c r="F128" s="41"/>
      <x:c r="G128" s="41"/>
      <x:c r="H128" s="41"/>
      <x:c r="I128" s="41"/>
      <x:c r="J128" s="41"/>
      <x:c r="K128" s="41"/>
      <x:c r="L128" s="41"/>
      <x:c r="M128" s="41"/>
      <x:c r="N128" s="41"/>
      <x:c r="O128" s="41"/>
      <x:c r="P128" s="41"/>
      <x:c r="Q128" s="41"/>
      <x:c r="R128" s="41"/>
      <x:c r="S128" s="41"/>
      <x:c r="T128" s="41"/>
      <x:c r="U128" s="41"/>
      <x:c r="V128" s="41"/>
      <x:c r="W128" s="41"/>
      <x:c r="X128" s="41"/>
      <x:c r="Y128" s="41"/>
      <x:c r="Z128" s="41"/>
    </x:row>
    <x:row r="129">
      <x:c r="A129" s="41"/>
      <x:c r="B129" s="41"/>
      <x:c r="C129" s="41"/>
      <x:c r="D129" s="41"/>
      <x:c r="E129" s="41"/>
      <x:c r="F129" s="41"/>
      <x:c r="G129" s="41"/>
      <x:c r="H129" s="41"/>
      <x:c r="I129" s="41"/>
      <x:c r="J129" s="41"/>
      <x:c r="K129" s="41"/>
      <x:c r="L129" s="41"/>
      <x:c r="M129" s="41"/>
      <x:c r="N129" s="41"/>
      <x:c r="O129" s="41"/>
      <x:c r="P129" s="41"/>
      <x:c r="Q129" s="41"/>
      <x:c r="R129" s="41"/>
      <x:c r="S129" s="41"/>
      <x:c r="T129" s="41"/>
      <x:c r="U129" s="41"/>
      <x:c r="V129" s="41"/>
      <x:c r="W129" s="41"/>
      <x:c r="X129" s="41"/>
      <x:c r="Y129" s="41"/>
      <x:c r="Z129" s="41"/>
    </x:row>
    <x:row r="130">
      <x:c r="A130" s="41"/>
      <x:c r="B130" s="41"/>
      <x:c r="C130" s="41"/>
      <x:c r="D130" s="41"/>
      <x:c r="E130" s="41"/>
      <x:c r="F130" s="41"/>
      <x:c r="G130" s="41"/>
      <x:c r="H130" s="41"/>
      <x:c r="I130" s="41"/>
      <x:c r="J130" s="41"/>
      <x:c r="K130" s="41"/>
      <x:c r="L130" s="41"/>
      <x:c r="M130" s="41"/>
      <x:c r="N130" s="41"/>
      <x:c r="O130" s="41"/>
      <x:c r="P130" s="41"/>
      <x:c r="Q130" s="41"/>
      <x:c r="R130" s="41"/>
      <x:c r="S130" s="41"/>
      <x:c r="T130" s="41"/>
      <x:c r="U130" s="41"/>
      <x:c r="V130" s="41"/>
      <x:c r="W130" s="41"/>
      <x:c r="X130" s="41"/>
      <x:c r="Y130" s="41"/>
      <x:c r="Z130" s="41"/>
    </x:row>
    <x:row r="131">
      <x:c r="A131" s="41"/>
      <x:c r="B131" s="41"/>
      <x:c r="C131" s="41"/>
      <x:c r="D131" s="41"/>
      <x:c r="E131" s="41"/>
      <x:c r="F131" s="41"/>
      <x:c r="G131" s="41"/>
      <x:c r="H131" s="41"/>
      <x:c r="I131" s="41"/>
      <x:c r="J131" s="41"/>
      <x:c r="K131" s="41"/>
      <x:c r="L131" s="41"/>
      <x:c r="M131" s="41"/>
      <x:c r="N131" s="41"/>
      <x:c r="O131" s="41"/>
      <x:c r="P131" s="41"/>
      <x:c r="Q131" s="41"/>
      <x:c r="R131" s="41"/>
      <x:c r="S131" s="41"/>
      <x:c r="T131" s="41"/>
      <x:c r="U131" s="41"/>
      <x:c r="V131" s="41"/>
      <x:c r="W131" s="41"/>
      <x:c r="X131" s="41"/>
      <x:c r="Y131" s="41"/>
      <x:c r="Z131" s="41"/>
    </x:row>
    <x:row r="132">
      <x:c r="A132" s="41"/>
      <x:c r="B132" s="41"/>
      <x:c r="C132" s="41"/>
      <x:c r="D132" s="41"/>
      <x:c r="E132" s="41"/>
      <x:c r="F132" s="41"/>
      <x:c r="G132" s="41"/>
      <x:c r="H132" s="41"/>
      <x:c r="I132" s="41"/>
      <x:c r="J132" s="41"/>
      <x:c r="K132" s="41"/>
      <x:c r="L132" s="41"/>
      <x:c r="M132" s="41"/>
      <x:c r="N132" s="41"/>
      <x:c r="O132" s="41"/>
      <x:c r="P132" s="41"/>
      <x:c r="Q132" s="41"/>
      <x:c r="R132" s="41"/>
      <x:c r="S132" s="41"/>
      <x:c r="T132" s="41"/>
      <x:c r="U132" s="41"/>
      <x:c r="V132" s="41"/>
      <x:c r="W132" s="41"/>
      <x:c r="X132" s="41"/>
      <x:c r="Y132" s="41"/>
      <x:c r="Z132" s="41"/>
    </x:row>
    <x:row r="133">
      <x:c r="A133" s="41"/>
      <x:c r="B133" s="41"/>
      <x:c r="C133" s="41"/>
      <x:c r="D133" s="41"/>
      <x:c r="E133" s="41"/>
      <x:c r="F133" s="41"/>
      <x:c r="G133" s="41"/>
      <x:c r="H133" s="41"/>
      <x:c r="I133" s="41"/>
      <x:c r="J133" s="41"/>
      <x:c r="K133" s="41"/>
      <x:c r="L133" s="41"/>
      <x:c r="M133" s="41"/>
      <x:c r="N133" s="41"/>
      <x:c r="O133" s="41"/>
      <x:c r="P133" s="41"/>
      <x:c r="Q133" s="41"/>
      <x:c r="R133" s="41"/>
      <x:c r="S133" s="41"/>
      <x:c r="T133" s="41"/>
      <x:c r="U133" s="41"/>
      <x:c r="V133" s="41"/>
      <x:c r="W133" s="41"/>
      <x:c r="X133" s="41"/>
      <x:c r="Y133" s="41"/>
      <x:c r="Z133" s="41"/>
    </x:row>
    <x:row r="134">
      <x:c r="A134" s="41"/>
      <x:c r="B134" s="41"/>
      <x:c r="C134" s="41"/>
      <x:c r="D134" s="41"/>
      <x:c r="E134" s="41"/>
      <x:c r="F134" s="41"/>
      <x:c r="G134" s="41"/>
      <x:c r="H134" s="41"/>
      <x:c r="I134" s="41"/>
      <x:c r="J134" s="41"/>
      <x:c r="K134" s="41"/>
      <x:c r="L134" s="41"/>
      <x:c r="M134" s="41"/>
      <x:c r="N134" s="41"/>
      <x:c r="O134" s="41"/>
      <x:c r="P134" s="41"/>
      <x:c r="Q134" s="41"/>
      <x:c r="R134" s="41"/>
      <x:c r="S134" s="41"/>
      <x:c r="T134" s="41"/>
      <x:c r="U134" s="41"/>
      <x:c r="V134" s="41"/>
      <x:c r="W134" s="41"/>
      <x:c r="X134" s="41"/>
      <x:c r="Y134" s="41"/>
      <x:c r="Z134" s="41"/>
    </x:row>
    <x:row r="135">
      <x:c r="A135" s="41"/>
      <x:c r="B135" s="41"/>
      <x:c r="C135" s="41"/>
      <x:c r="D135" s="41"/>
      <x:c r="E135" s="41"/>
      <x:c r="F135" s="41"/>
      <x:c r="G135" s="41"/>
      <x:c r="H135" s="41"/>
      <x:c r="I135" s="41"/>
      <x:c r="J135" s="41"/>
      <x:c r="K135" s="41"/>
      <x:c r="L135" s="41"/>
      <x:c r="M135" s="41"/>
      <x:c r="N135" s="41"/>
      <x:c r="O135" s="41"/>
      <x:c r="P135" s="41"/>
      <x:c r="Q135" s="41"/>
      <x:c r="R135" s="41"/>
      <x:c r="S135" s="41"/>
      <x:c r="T135" s="41"/>
      <x:c r="U135" s="41"/>
      <x:c r="V135" s="41"/>
      <x:c r="W135" s="41"/>
      <x:c r="X135" s="41"/>
      <x:c r="Y135" s="41"/>
      <x:c r="Z135" s="41"/>
    </x:row>
    <x:row r="136">
      <x:c r="A136" s="41"/>
      <x:c r="B136" s="41"/>
      <x:c r="C136" s="41"/>
      <x:c r="D136" s="41"/>
      <x:c r="E136" s="41"/>
      <x:c r="F136" s="41"/>
      <x:c r="G136" s="41"/>
      <x:c r="H136" s="41"/>
      <x:c r="I136" s="41"/>
      <x:c r="J136" s="41"/>
      <x:c r="K136" s="41"/>
      <x:c r="L136" s="41"/>
      <x:c r="M136" s="41"/>
      <x:c r="N136" s="41"/>
      <x:c r="O136" s="41"/>
      <x:c r="P136" s="41"/>
      <x:c r="Q136" s="41"/>
      <x:c r="R136" s="41"/>
      <x:c r="S136" s="41"/>
      <x:c r="T136" s="41"/>
      <x:c r="U136" s="41"/>
      <x:c r="V136" s="41"/>
      <x:c r="W136" s="41"/>
      <x:c r="X136" s="41"/>
      <x:c r="Y136" s="41"/>
      <x:c r="Z136" s="41"/>
    </x:row>
    <x:row r="137">
      <x:c r="A137" s="41"/>
      <x:c r="B137" s="41"/>
      <x:c r="C137" s="41"/>
      <x:c r="D137" s="41"/>
      <x:c r="E137" s="41"/>
      <x:c r="F137" s="41"/>
      <x:c r="G137" s="41"/>
      <x:c r="H137" s="41"/>
      <x:c r="I137" s="41"/>
      <x:c r="J137" s="41"/>
      <x:c r="K137" s="41"/>
      <x:c r="L137" s="41"/>
      <x:c r="M137" s="41"/>
      <x:c r="N137" s="41"/>
      <x:c r="O137" s="41"/>
      <x:c r="P137" s="41"/>
      <x:c r="Q137" s="41"/>
      <x:c r="R137" s="41"/>
      <x:c r="S137" s="41"/>
      <x:c r="T137" s="41"/>
      <x:c r="U137" s="41"/>
      <x:c r="V137" s="41"/>
      <x:c r="W137" s="41"/>
      <x:c r="X137" s="41"/>
      <x:c r="Y137" s="41"/>
      <x:c r="Z137" s="41"/>
    </x:row>
    <x:row r="138">
      <x:c r="A138" s="41"/>
      <x:c r="B138" s="41"/>
      <x:c r="C138" s="41"/>
      <x:c r="D138" s="41"/>
      <x:c r="E138" s="41"/>
      <x:c r="F138" s="41"/>
      <x:c r="G138" s="41"/>
      <x:c r="H138" s="41"/>
      <x:c r="I138" s="41"/>
      <x:c r="J138" s="41"/>
      <x:c r="K138" s="41"/>
      <x:c r="L138" s="41"/>
      <x:c r="M138" s="41"/>
      <x:c r="N138" s="41"/>
      <x:c r="O138" s="41"/>
      <x:c r="P138" s="41"/>
      <x:c r="Q138" s="41"/>
      <x:c r="R138" s="41"/>
      <x:c r="S138" s="41"/>
      <x:c r="T138" s="41"/>
      <x:c r="U138" s="41"/>
      <x:c r="V138" s="41"/>
      <x:c r="W138" s="41"/>
      <x:c r="X138" s="41"/>
      <x:c r="Y138" s="41"/>
      <x:c r="Z138" s="41"/>
    </x:row>
    <x:row r="139">
      <x:c r="A139" s="41"/>
      <x:c r="B139" s="41"/>
      <x:c r="C139" s="41"/>
      <x:c r="D139" s="41"/>
      <x:c r="E139" s="41"/>
      <x:c r="F139" s="41"/>
      <x:c r="G139" s="41"/>
      <x:c r="H139" s="41"/>
      <x:c r="I139" s="41"/>
      <x:c r="J139" s="41"/>
      <x:c r="K139" s="41"/>
      <x:c r="L139" s="41"/>
      <x:c r="M139" s="41"/>
      <x:c r="N139" s="41"/>
      <x:c r="O139" s="41"/>
      <x:c r="P139" s="41"/>
      <x:c r="Q139" s="41"/>
      <x:c r="R139" s="41"/>
      <x:c r="S139" s="41"/>
      <x:c r="T139" s="41"/>
      <x:c r="U139" s="41"/>
      <x:c r="V139" s="41"/>
      <x:c r="W139" s="41"/>
      <x:c r="X139" s="41"/>
      <x:c r="Y139" s="41"/>
      <x:c r="Z139" s="41"/>
    </x:row>
    <x:row r="140">
      <x:c r="A140" s="41"/>
      <x:c r="B140" s="41"/>
      <x:c r="C140" s="41"/>
      <x:c r="D140" s="41"/>
      <x:c r="E140" s="41"/>
      <x:c r="F140" s="41"/>
      <x:c r="G140" s="41"/>
      <x:c r="H140" s="41"/>
      <x:c r="I140" s="41"/>
      <x:c r="J140" s="41"/>
      <x:c r="K140" s="41"/>
      <x:c r="L140" s="41"/>
      <x:c r="M140" s="41"/>
      <x:c r="N140" s="41"/>
      <x:c r="O140" s="41"/>
      <x:c r="P140" s="41"/>
      <x:c r="Q140" s="41"/>
      <x:c r="R140" s="41"/>
      <x:c r="S140" s="41"/>
      <x:c r="T140" s="41"/>
      <x:c r="U140" s="41"/>
      <x:c r="V140" s="41"/>
      <x:c r="W140" s="41"/>
      <x:c r="X140" s="41"/>
      <x:c r="Y140" s="41"/>
      <x:c r="Z140" s="41"/>
    </x:row>
    <x:row r="141">
      <x:c r="A141" s="41"/>
      <x:c r="B141" s="41"/>
      <x:c r="C141" s="41"/>
      <x:c r="D141" s="41"/>
      <x:c r="E141" s="41"/>
      <x:c r="F141" s="41"/>
      <x:c r="G141" s="41"/>
      <x:c r="H141" s="41"/>
      <x:c r="I141" s="41"/>
      <x:c r="J141" s="41"/>
      <x:c r="K141" s="41"/>
      <x:c r="L141" s="41"/>
      <x:c r="M141" s="41"/>
      <x:c r="N141" s="41"/>
      <x:c r="O141" s="41"/>
      <x:c r="P141" s="41"/>
      <x:c r="Q141" s="41"/>
      <x:c r="R141" s="41"/>
      <x:c r="S141" s="41"/>
      <x:c r="T141" s="41"/>
      <x:c r="U141" s="41"/>
      <x:c r="V141" s="41"/>
      <x:c r="W141" s="41"/>
      <x:c r="X141" s="41"/>
      <x:c r="Y141" s="41"/>
      <x:c r="Z141" s="41"/>
    </x:row>
    <x:row r="142">
      <x:c r="A142" s="41"/>
      <x:c r="B142" s="41"/>
      <x:c r="C142" s="41"/>
      <x:c r="D142" s="41"/>
      <x:c r="E142" s="41"/>
      <x:c r="F142" s="41"/>
      <x:c r="G142" s="41"/>
      <x:c r="H142" s="41"/>
      <x:c r="I142" s="41"/>
      <x:c r="J142" s="41"/>
      <x:c r="K142" s="41"/>
      <x:c r="L142" s="41"/>
      <x:c r="M142" s="41"/>
      <x:c r="N142" s="41"/>
      <x:c r="O142" s="41"/>
      <x:c r="P142" s="41"/>
      <x:c r="Q142" s="41"/>
      <x:c r="R142" s="41"/>
      <x:c r="S142" s="41"/>
      <x:c r="T142" s="41"/>
      <x:c r="U142" s="41"/>
      <x:c r="V142" s="41"/>
      <x:c r="W142" s="41"/>
      <x:c r="X142" s="41"/>
      <x:c r="Y142" s="41"/>
      <x:c r="Z142" s="41"/>
    </x:row>
    <x:row r="143">
      <x:c r="A143" s="41"/>
      <x:c r="B143" s="41"/>
      <x:c r="C143" s="41"/>
      <x:c r="D143" s="41"/>
      <x:c r="E143" s="41"/>
      <x:c r="F143" s="41"/>
      <x:c r="G143" s="41"/>
      <x:c r="H143" s="41"/>
      <x:c r="I143" s="41"/>
      <x:c r="J143" s="41"/>
      <x:c r="K143" s="41"/>
      <x:c r="L143" s="41"/>
      <x:c r="M143" s="41"/>
      <x:c r="N143" s="41"/>
      <x:c r="O143" s="41"/>
      <x:c r="P143" s="41"/>
      <x:c r="Q143" s="41"/>
      <x:c r="R143" s="41"/>
      <x:c r="S143" s="41"/>
      <x:c r="T143" s="41"/>
      <x:c r="U143" s="41"/>
      <x:c r="V143" s="41"/>
      <x:c r="W143" s="41"/>
      <x:c r="X143" s="41"/>
      <x:c r="Y143" s="41"/>
      <x:c r="Z143" s="41"/>
    </x:row>
    <x:row r="144">
      <x:c r="A144" s="41"/>
      <x:c r="B144" s="41"/>
      <x:c r="C144" s="41"/>
      <x:c r="D144" s="41"/>
      <x:c r="E144" s="41"/>
      <x:c r="F144" s="41"/>
      <x:c r="G144" s="41"/>
      <x:c r="H144" s="41"/>
      <x:c r="I144" s="41"/>
      <x:c r="J144" s="41"/>
      <x:c r="K144" s="41"/>
      <x:c r="L144" s="41"/>
      <x:c r="M144" s="41"/>
      <x:c r="N144" s="41"/>
      <x:c r="O144" s="41"/>
      <x:c r="P144" s="41"/>
      <x:c r="Q144" s="41"/>
      <x:c r="R144" s="41"/>
      <x:c r="S144" s="41"/>
      <x:c r="T144" s="41"/>
      <x:c r="U144" s="41"/>
      <x:c r="V144" s="41"/>
      <x:c r="W144" s="41"/>
      <x:c r="X144" s="41"/>
      <x:c r="Y144" s="41"/>
      <x:c r="Z144" s="41"/>
    </x:row>
    <x:row r="145">
      <x:c r="A145" s="41"/>
      <x:c r="B145" s="41"/>
      <x:c r="C145" s="41"/>
      <x:c r="D145" s="41"/>
      <x:c r="E145" s="41"/>
      <x:c r="F145" s="41"/>
      <x:c r="G145" s="41"/>
      <x:c r="H145" s="41"/>
      <x:c r="I145" s="41"/>
      <x:c r="J145" s="41"/>
      <x:c r="K145" s="41"/>
      <x:c r="L145" s="41"/>
      <x:c r="M145" s="41"/>
      <x:c r="N145" s="41"/>
      <x:c r="O145" s="41"/>
      <x:c r="P145" s="41"/>
      <x:c r="Q145" s="41"/>
      <x:c r="R145" s="41"/>
      <x:c r="S145" s="41"/>
      <x:c r="T145" s="41"/>
      <x:c r="U145" s="41"/>
      <x:c r="V145" s="41"/>
      <x:c r="W145" s="41"/>
      <x:c r="X145" s="41"/>
      <x:c r="Y145" s="41"/>
      <x:c r="Z145" s="41"/>
    </x:row>
    <x:row r="146">
      <x:c r="A146" s="41"/>
      <x:c r="B146" s="41"/>
      <x:c r="C146" s="41"/>
      <x:c r="D146" s="41"/>
      <x:c r="E146" s="41"/>
      <x:c r="F146" s="41"/>
      <x:c r="G146" s="41"/>
      <x:c r="H146" s="41"/>
      <x:c r="I146" s="41"/>
      <x:c r="J146" s="41"/>
      <x:c r="K146" s="41"/>
      <x:c r="L146" s="41"/>
      <x:c r="M146" s="41"/>
      <x:c r="N146" s="41"/>
      <x:c r="O146" s="41"/>
      <x:c r="P146" s="41"/>
      <x:c r="Q146" s="41"/>
      <x:c r="R146" s="41"/>
      <x:c r="S146" s="41"/>
      <x:c r="T146" s="41"/>
      <x:c r="U146" s="41"/>
      <x:c r="V146" s="41"/>
      <x:c r="W146" s="41"/>
      <x:c r="X146" s="41"/>
      <x:c r="Y146" s="41"/>
      <x:c r="Z146" s="41"/>
    </x:row>
    <x:row r="147">
      <x:c r="A147" s="41"/>
      <x:c r="B147" s="41"/>
      <x:c r="C147" s="41"/>
      <x:c r="D147" s="41"/>
      <x:c r="E147" s="41"/>
      <x:c r="F147" s="41"/>
      <x:c r="G147" s="41"/>
      <x:c r="H147" s="41"/>
      <x:c r="I147" s="41"/>
      <x:c r="J147" s="41"/>
      <x:c r="K147" s="41"/>
      <x:c r="L147" s="41"/>
      <x:c r="M147" s="41"/>
      <x:c r="N147" s="41"/>
      <x:c r="O147" s="41"/>
      <x:c r="P147" s="41"/>
      <x:c r="Q147" s="41"/>
      <x:c r="R147" s="41"/>
      <x:c r="S147" s="41"/>
      <x:c r="T147" s="41"/>
      <x:c r="U147" s="41"/>
      <x:c r="V147" s="41"/>
      <x:c r="W147" s="41"/>
      <x:c r="X147" s="41"/>
      <x:c r="Y147" s="41"/>
      <x:c r="Z147" s="41"/>
    </x:row>
    <x:row r="148">
      <x:c r="A148" s="41"/>
      <x:c r="B148" s="41"/>
      <x:c r="C148" s="41"/>
      <x:c r="D148" s="41"/>
      <x:c r="E148" s="41"/>
      <x:c r="F148" s="41"/>
      <x:c r="G148" s="41"/>
      <x:c r="H148" s="41"/>
      <x:c r="I148" s="41"/>
      <x:c r="J148" s="41"/>
      <x:c r="K148" s="41"/>
      <x:c r="L148" s="41"/>
      <x:c r="M148" s="41"/>
      <x:c r="N148" s="41"/>
      <x:c r="O148" s="41"/>
      <x:c r="P148" s="41"/>
      <x:c r="Q148" s="41"/>
      <x:c r="R148" s="41"/>
      <x:c r="S148" s="41"/>
      <x:c r="T148" s="41"/>
      <x:c r="U148" s="41"/>
      <x:c r="V148" s="41"/>
      <x:c r="W148" s="41"/>
      <x:c r="X148" s="41"/>
      <x:c r="Y148" s="41"/>
      <x:c r="Z148" s="41"/>
    </x:row>
    <x:row r="149">
      <x:c r="A149" s="41"/>
      <x:c r="B149" s="41"/>
      <x:c r="C149" s="41"/>
      <x:c r="D149" s="41"/>
      <x:c r="E149" s="41"/>
      <x:c r="F149" s="41"/>
      <x:c r="G149" s="41"/>
      <x:c r="H149" s="41"/>
      <x:c r="I149" s="41"/>
      <x:c r="J149" s="41"/>
      <x:c r="K149" s="41"/>
      <x:c r="L149" s="41"/>
      <x:c r="M149" s="41"/>
      <x:c r="N149" s="41"/>
      <x:c r="O149" s="41"/>
      <x:c r="P149" s="41"/>
      <x:c r="Q149" s="41"/>
      <x:c r="R149" s="41"/>
      <x:c r="S149" s="41"/>
      <x:c r="T149" s="41"/>
      <x:c r="U149" s="41"/>
      <x:c r="V149" s="41"/>
      <x:c r="W149" s="41"/>
      <x:c r="X149" s="41"/>
      <x:c r="Y149" s="41"/>
      <x:c r="Z149" s="41"/>
    </x:row>
    <x:row r="150">
      <x:c r="A150" s="41"/>
      <x:c r="B150" s="41"/>
      <x:c r="C150" s="41"/>
      <x:c r="D150" s="41"/>
      <x:c r="E150" s="41"/>
      <x:c r="F150" s="41"/>
      <x:c r="G150" s="41"/>
      <x:c r="H150" s="41"/>
      <x:c r="I150" s="41"/>
      <x:c r="J150" s="41"/>
      <x:c r="K150" s="41"/>
      <x:c r="L150" s="41"/>
      <x:c r="M150" s="41"/>
      <x:c r="N150" s="41"/>
      <x:c r="O150" s="41"/>
      <x:c r="P150" s="41"/>
      <x:c r="Q150" s="41"/>
      <x:c r="R150" s="41"/>
      <x:c r="S150" s="41"/>
      <x:c r="T150" s="41"/>
      <x:c r="U150" s="41"/>
      <x:c r="V150" s="41"/>
      <x:c r="W150" s="41"/>
      <x:c r="X150" s="41"/>
      <x:c r="Y150" s="41"/>
      <x:c r="Z150" s="41"/>
    </x:row>
    <x:row r="151">
      <x:c r="A151" s="41"/>
      <x:c r="B151" s="41"/>
      <x:c r="C151" s="41"/>
      <x:c r="D151" s="41"/>
      <x:c r="E151" s="41"/>
      <x:c r="F151" s="41"/>
      <x:c r="G151" s="41"/>
      <x:c r="H151" s="41"/>
      <x:c r="I151" s="41"/>
      <x:c r="J151" s="41"/>
      <x:c r="K151" s="41"/>
      <x:c r="L151" s="41"/>
      <x:c r="M151" s="41"/>
      <x:c r="N151" s="41"/>
      <x:c r="O151" s="41"/>
      <x:c r="P151" s="41"/>
      <x:c r="Q151" s="41"/>
      <x:c r="R151" s="41"/>
      <x:c r="S151" s="41"/>
      <x:c r="T151" s="41"/>
      <x:c r="U151" s="41"/>
      <x:c r="V151" s="41"/>
      <x:c r="W151" s="41"/>
      <x:c r="X151" s="41"/>
      <x:c r="Y151" s="41"/>
      <x:c r="Z151" s="41"/>
    </x:row>
    <x:row r="152">
      <x:c r="A152" s="41"/>
      <x:c r="B152" s="41"/>
      <x:c r="C152" s="41"/>
      <x:c r="D152" s="41"/>
      <x:c r="E152" s="41"/>
      <x:c r="F152" s="41"/>
      <x:c r="G152" s="41"/>
      <x:c r="H152" s="41"/>
      <x:c r="I152" s="41"/>
      <x:c r="J152" s="41"/>
      <x:c r="K152" s="41"/>
      <x:c r="L152" s="41"/>
      <x:c r="M152" s="41"/>
      <x:c r="N152" s="41"/>
      <x:c r="O152" s="41"/>
      <x:c r="P152" s="41"/>
      <x:c r="Q152" s="41"/>
      <x:c r="R152" s="41"/>
      <x:c r="S152" s="41"/>
      <x:c r="T152" s="41"/>
      <x:c r="U152" s="41"/>
      <x:c r="V152" s="41"/>
      <x:c r="W152" s="41"/>
      <x:c r="X152" s="41"/>
      <x:c r="Y152" s="41"/>
      <x:c r="Z152" s="41"/>
    </x:row>
    <x:row r="153">
      <x:c r="A153" s="41"/>
      <x:c r="B153" s="41"/>
      <x:c r="C153" s="41"/>
      <x:c r="D153" s="41"/>
      <x:c r="E153" s="41"/>
      <x:c r="F153" s="41"/>
      <x:c r="G153" s="41"/>
      <x:c r="H153" s="41"/>
      <x:c r="I153" s="41"/>
      <x:c r="J153" s="41"/>
      <x:c r="K153" s="41"/>
      <x:c r="L153" s="41"/>
      <x:c r="M153" s="41"/>
      <x:c r="N153" s="41"/>
      <x:c r="O153" s="41"/>
      <x:c r="P153" s="41"/>
      <x:c r="Q153" s="41"/>
      <x:c r="R153" s="41"/>
      <x:c r="S153" s="41"/>
      <x:c r="T153" s="41"/>
      <x:c r="U153" s="41"/>
      <x:c r="V153" s="41"/>
      <x:c r="W153" s="41"/>
      <x:c r="X153" s="41"/>
      <x:c r="Y153" s="41"/>
      <x:c r="Z153" s="41"/>
    </x:row>
    <x:row r="154">
      <x:c r="A154" s="41"/>
      <x:c r="B154" s="41"/>
      <x:c r="C154" s="41"/>
      <x:c r="D154" s="41"/>
      <x:c r="E154" s="41"/>
      <x:c r="F154" s="41"/>
      <x:c r="G154" s="41"/>
      <x:c r="H154" s="41"/>
      <x:c r="I154" s="41"/>
      <x:c r="J154" s="41"/>
      <x:c r="K154" s="41"/>
      <x:c r="L154" s="41"/>
      <x:c r="M154" s="41"/>
      <x:c r="N154" s="41"/>
      <x:c r="O154" s="41"/>
      <x:c r="P154" s="41"/>
      <x:c r="Q154" s="41"/>
      <x:c r="R154" s="41"/>
      <x:c r="S154" s="41"/>
      <x:c r="T154" s="41"/>
      <x:c r="U154" s="41"/>
      <x:c r="V154" s="41"/>
      <x:c r="W154" s="41"/>
      <x:c r="X154" s="41"/>
      <x:c r="Y154" s="41"/>
      <x:c r="Z154" s="41"/>
    </x:row>
    <x:row r="155">
      <x:c r="A155" s="41"/>
      <x:c r="B155" s="41"/>
      <x:c r="C155" s="41"/>
      <x:c r="D155" s="41"/>
      <x:c r="E155" s="41"/>
      <x:c r="F155" s="41"/>
      <x:c r="G155" s="41"/>
      <x:c r="H155" s="41"/>
      <x:c r="I155" s="41"/>
      <x:c r="J155" s="41"/>
      <x:c r="K155" s="41"/>
      <x:c r="L155" s="41"/>
      <x:c r="M155" s="41"/>
      <x:c r="N155" s="41"/>
      <x:c r="O155" s="41"/>
      <x:c r="P155" s="41"/>
      <x:c r="Q155" s="41"/>
      <x:c r="R155" s="41"/>
      <x:c r="S155" s="41"/>
      <x:c r="T155" s="41"/>
      <x:c r="U155" s="41"/>
      <x:c r="V155" s="41"/>
      <x:c r="W155" s="41"/>
      <x:c r="X155" s="41"/>
      <x:c r="Y155" s="41"/>
      <x:c r="Z155" s="41"/>
    </x:row>
    <x:row r="156">
      <x:c r="A156" s="41"/>
      <x:c r="B156" s="41"/>
      <x:c r="C156" s="41"/>
      <x:c r="D156" s="41"/>
      <x:c r="E156" s="41"/>
      <x:c r="F156" s="41"/>
      <x:c r="G156" s="41"/>
      <x:c r="H156" s="41"/>
      <x:c r="I156" s="41"/>
      <x:c r="J156" s="41"/>
      <x:c r="K156" s="41"/>
      <x:c r="L156" s="41"/>
      <x:c r="M156" s="41"/>
      <x:c r="N156" s="41"/>
      <x:c r="O156" s="41"/>
      <x:c r="P156" s="41"/>
      <x:c r="Q156" s="41"/>
      <x:c r="R156" s="41"/>
      <x:c r="S156" s="41"/>
      <x:c r="T156" s="41"/>
      <x:c r="U156" s="41"/>
      <x:c r="V156" s="41"/>
      <x:c r="W156" s="41"/>
      <x:c r="X156" s="41"/>
      <x:c r="Y156" s="41"/>
      <x:c r="Z156" s="41"/>
    </x:row>
    <x:row r="157">
      <x:c r="A157" s="41"/>
      <x:c r="B157" s="41"/>
      <x:c r="C157" s="41"/>
      <x:c r="D157" s="41"/>
      <x:c r="E157" s="41"/>
      <x:c r="F157" s="41"/>
      <x:c r="G157" s="41"/>
      <x:c r="H157" s="41"/>
      <x:c r="I157" s="41"/>
      <x:c r="J157" s="41"/>
      <x:c r="K157" s="41"/>
      <x:c r="L157" s="41"/>
      <x:c r="M157" s="41"/>
      <x:c r="N157" s="41"/>
      <x:c r="O157" s="41"/>
      <x:c r="P157" s="41"/>
      <x:c r="Q157" s="41"/>
      <x:c r="R157" s="41"/>
      <x:c r="S157" s="41"/>
      <x:c r="T157" s="41"/>
      <x:c r="U157" s="41"/>
      <x:c r="V157" s="41"/>
      <x:c r="W157" s="41"/>
      <x:c r="X157" s="41"/>
      <x:c r="Y157" s="41"/>
      <x:c r="Z157" s="41"/>
    </x:row>
    <x:row r="158">
      <x:c r="A158" s="41"/>
      <x:c r="B158" s="41"/>
      <x:c r="C158" s="41"/>
      <x:c r="D158" s="41"/>
      <x:c r="E158" s="41"/>
      <x:c r="F158" s="41"/>
      <x:c r="G158" s="41"/>
      <x:c r="H158" s="41"/>
      <x:c r="I158" s="41"/>
      <x:c r="J158" s="41"/>
      <x:c r="K158" s="41"/>
      <x:c r="L158" s="41"/>
      <x:c r="M158" s="41"/>
      <x:c r="N158" s="41"/>
      <x:c r="O158" s="41"/>
      <x:c r="P158" s="41"/>
      <x:c r="Q158" s="41"/>
      <x:c r="R158" s="41"/>
      <x:c r="S158" s="41"/>
      <x:c r="T158" s="41"/>
      <x:c r="U158" s="41"/>
      <x:c r="V158" s="41"/>
      <x:c r="W158" s="41"/>
      <x:c r="X158" s="41"/>
      <x:c r="Y158" s="41"/>
      <x:c r="Z158" s="41"/>
    </x:row>
    <x:row r="159">
      <x:c r="A159" s="41"/>
      <x:c r="B159" s="41"/>
      <x:c r="C159" s="41"/>
      <x:c r="D159" s="41"/>
      <x:c r="E159" s="41"/>
      <x:c r="F159" s="41"/>
      <x:c r="G159" s="41"/>
      <x:c r="H159" s="41"/>
      <x:c r="I159" s="41"/>
      <x:c r="J159" s="41"/>
      <x:c r="K159" s="41"/>
      <x:c r="L159" s="41"/>
      <x:c r="M159" s="41"/>
      <x:c r="N159" s="41"/>
      <x:c r="O159" s="41"/>
      <x:c r="P159" s="41"/>
      <x:c r="Q159" s="41"/>
      <x:c r="R159" s="41"/>
      <x:c r="S159" s="41"/>
      <x:c r="T159" s="41"/>
      <x:c r="U159" s="41"/>
      <x:c r="V159" s="41"/>
      <x:c r="W159" s="41"/>
      <x:c r="X159" s="41"/>
      <x:c r="Y159" s="41"/>
      <x:c r="Z159" s="41"/>
    </x:row>
    <x:row r="160">
      <x:c r="A160" s="41"/>
      <x:c r="B160" s="41"/>
      <x:c r="C160" s="41"/>
      <x:c r="D160" s="41"/>
      <x:c r="E160" s="41"/>
      <x:c r="F160" s="41"/>
      <x:c r="G160" s="41"/>
      <x:c r="H160" s="41"/>
      <x:c r="I160" s="41"/>
      <x:c r="J160" s="41"/>
      <x:c r="K160" s="41"/>
      <x:c r="L160" s="41"/>
      <x:c r="M160" s="41"/>
      <x:c r="N160" s="41"/>
      <x:c r="O160" s="41"/>
      <x:c r="P160" s="41"/>
      <x:c r="Q160" s="41"/>
      <x:c r="R160" s="41"/>
      <x:c r="S160" s="41"/>
      <x:c r="T160" s="41"/>
      <x:c r="U160" s="41"/>
      <x:c r="V160" s="41"/>
      <x:c r="W160" s="41"/>
      <x:c r="X160" s="41"/>
      <x:c r="Y160" s="41"/>
      <x:c r="Z160" s="41"/>
    </x:row>
    <x:row r="161">
      <x:c r="A161" s="41"/>
      <x:c r="B161" s="41"/>
      <x:c r="C161" s="41"/>
      <x:c r="D161" s="41"/>
      <x:c r="E161" s="41"/>
      <x:c r="F161" s="41"/>
      <x:c r="G161" s="41"/>
      <x:c r="H161" s="41"/>
      <x:c r="I161" s="41"/>
      <x:c r="J161" s="41"/>
      <x:c r="K161" s="41"/>
      <x:c r="L161" s="41"/>
      <x:c r="M161" s="41"/>
      <x:c r="N161" s="41"/>
      <x:c r="O161" s="41"/>
      <x:c r="P161" s="41"/>
      <x:c r="Q161" s="41"/>
      <x:c r="R161" s="41"/>
      <x:c r="S161" s="41"/>
      <x:c r="T161" s="41"/>
      <x:c r="U161" s="41"/>
      <x:c r="V161" s="41"/>
      <x:c r="W161" s="41"/>
      <x:c r="X161" s="41"/>
      <x:c r="Y161" s="41"/>
      <x:c r="Z161" s="41"/>
    </x:row>
    <x:row r="162">
      <x:c r="A162" s="41"/>
      <x:c r="B162" s="41"/>
      <x:c r="C162" s="41"/>
      <x:c r="D162" s="41"/>
      <x:c r="E162" s="41"/>
      <x:c r="F162" s="41"/>
      <x:c r="G162" s="41"/>
      <x:c r="H162" s="41"/>
      <x:c r="I162" s="41"/>
      <x:c r="J162" s="41"/>
      <x:c r="K162" s="41"/>
      <x:c r="L162" s="41"/>
      <x:c r="M162" s="41"/>
      <x:c r="N162" s="41"/>
      <x:c r="O162" s="41"/>
      <x:c r="P162" s="41"/>
      <x:c r="Q162" s="41"/>
      <x:c r="R162" s="41"/>
      <x:c r="S162" s="41"/>
      <x:c r="T162" s="41"/>
      <x:c r="U162" s="41"/>
      <x:c r="V162" s="41"/>
      <x:c r="W162" s="41"/>
      <x:c r="X162" s="41"/>
      <x:c r="Y162" s="41"/>
      <x:c r="Z162" s="41"/>
    </x:row>
    <x:row r="163">
      <x:c r="A163" s="41"/>
      <x:c r="B163" s="41"/>
      <x:c r="C163" s="41"/>
      <x:c r="D163" s="41"/>
      <x:c r="E163" s="41"/>
      <x:c r="F163" s="41"/>
      <x:c r="G163" s="41"/>
      <x:c r="H163" s="41"/>
      <x:c r="I163" s="41"/>
      <x:c r="J163" s="41"/>
      <x:c r="K163" s="41"/>
      <x:c r="L163" s="41"/>
      <x:c r="M163" s="41"/>
      <x:c r="N163" s="41"/>
      <x:c r="O163" s="41"/>
      <x:c r="P163" s="41"/>
      <x:c r="Q163" s="41"/>
      <x:c r="R163" s="41"/>
      <x:c r="S163" s="41"/>
      <x:c r="T163" s="41"/>
      <x:c r="U163" s="41"/>
      <x:c r="V163" s="41"/>
      <x:c r="W163" s="41"/>
      <x:c r="X163" s="41"/>
      <x:c r="Y163" s="41"/>
      <x:c r="Z163" s="41"/>
    </x:row>
    <x:row r="164">
      <x:c r="A164" s="41"/>
      <x:c r="B164" s="41"/>
      <x:c r="C164" s="41"/>
      <x:c r="D164" s="41"/>
      <x:c r="E164" s="41"/>
      <x:c r="F164" s="41"/>
      <x:c r="G164" s="41"/>
      <x:c r="H164" s="41"/>
      <x:c r="I164" s="41"/>
      <x:c r="J164" s="41"/>
      <x:c r="K164" s="41"/>
      <x:c r="L164" s="41"/>
      <x:c r="M164" s="41"/>
      <x:c r="N164" s="41"/>
      <x:c r="O164" s="41"/>
      <x:c r="P164" s="41"/>
      <x:c r="Q164" s="41"/>
      <x:c r="R164" s="41"/>
      <x:c r="S164" s="41"/>
      <x:c r="T164" s="41"/>
      <x:c r="U164" s="41"/>
      <x:c r="V164" s="41"/>
      <x:c r="W164" s="41"/>
      <x:c r="X164" s="41"/>
      <x:c r="Y164" s="41"/>
      <x:c r="Z164" s="41"/>
    </x:row>
    <x:row r="165">
      <x:c r="A165" s="41"/>
      <x:c r="B165" s="41"/>
      <x:c r="C165" s="41"/>
      <x:c r="D165" s="41"/>
      <x:c r="E165" s="41"/>
      <x:c r="F165" s="41"/>
      <x:c r="G165" s="41"/>
      <x:c r="H165" s="41"/>
      <x:c r="I165" s="41"/>
      <x:c r="J165" s="41"/>
      <x:c r="K165" s="41"/>
      <x:c r="L165" s="41"/>
      <x:c r="M165" s="41"/>
      <x:c r="N165" s="41"/>
      <x:c r="O165" s="41"/>
      <x:c r="P165" s="41"/>
      <x:c r="Q165" s="41"/>
      <x:c r="R165" s="41"/>
      <x:c r="S165" s="41"/>
      <x:c r="T165" s="41"/>
      <x:c r="U165" s="41"/>
      <x:c r="V165" s="41"/>
      <x:c r="W165" s="41"/>
      <x:c r="X165" s="41"/>
      <x:c r="Y165" s="41"/>
      <x:c r="Z165" s="41"/>
    </x:row>
    <x:row r="166">
      <x:c r="A166" s="41"/>
      <x:c r="B166" s="41"/>
      <x:c r="C166" s="41"/>
      <x:c r="D166" s="41"/>
      <x:c r="E166" s="41"/>
      <x:c r="F166" s="41"/>
      <x:c r="G166" s="41"/>
      <x:c r="H166" s="41"/>
      <x:c r="I166" s="41"/>
      <x:c r="J166" s="41"/>
      <x:c r="K166" s="41"/>
      <x:c r="L166" s="41"/>
      <x:c r="M166" s="41"/>
      <x:c r="N166" s="41"/>
      <x:c r="O166" s="41"/>
      <x:c r="P166" s="41"/>
      <x:c r="Q166" s="41"/>
      <x:c r="R166" s="41"/>
      <x:c r="S166" s="41"/>
      <x:c r="T166" s="41"/>
      <x:c r="U166" s="41"/>
      <x:c r="V166" s="41"/>
      <x:c r="W166" s="41"/>
      <x:c r="X166" s="41"/>
      <x:c r="Y166" s="41"/>
      <x:c r="Z166" s="41"/>
    </x:row>
    <x:row r="167">
      <x:c r="A167" s="41"/>
      <x:c r="B167" s="41"/>
      <x:c r="C167" s="41"/>
      <x:c r="D167" s="41"/>
      <x:c r="E167" s="41"/>
      <x:c r="F167" s="41"/>
      <x:c r="G167" s="41"/>
      <x:c r="H167" s="41"/>
      <x:c r="I167" s="41"/>
      <x:c r="J167" s="41"/>
      <x:c r="K167" s="41"/>
      <x:c r="L167" s="41"/>
      <x:c r="M167" s="41"/>
      <x:c r="N167" s="41"/>
      <x:c r="O167" s="41"/>
      <x:c r="P167" s="41"/>
      <x:c r="Q167" s="41"/>
      <x:c r="R167" s="41"/>
      <x:c r="S167" s="41"/>
      <x:c r="T167" s="41"/>
      <x:c r="U167" s="41"/>
      <x:c r="V167" s="41"/>
      <x:c r="W167" s="41"/>
      <x:c r="X167" s="41"/>
      <x:c r="Y167" s="41"/>
      <x:c r="Z167" s="41"/>
    </x:row>
    <x:row r="168">
      <x:c r="A168" s="41"/>
      <x:c r="B168" s="41"/>
      <x:c r="C168" s="41"/>
      <x:c r="D168" s="41"/>
      <x:c r="E168" s="41"/>
      <x:c r="F168" s="41"/>
      <x:c r="G168" s="41"/>
      <x:c r="H168" s="41"/>
      <x:c r="I168" s="41"/>
      <x:c r="J168" s="41"/>
      <x:c r="K168" s="41"/>
      <x:c r="L168" s="41"/>
      <x:c r="M168" s="41"/>
      <x:c r="N168" s="41"/>
      <x:c r="O168" s="41"/>
      <x:c r="P168" s="41"/>
      <x:c r="Q168" s="41"/>
      <x:c r="R168" s="41"/>
      <x:c r="S168" s="41"/>
      <x:c r="T168" s="41"/>
      <x:c r="U168" s="41"/>
      <x:c r="V168" s="41"/>
      <x:c r="W168" s="41"/>
      <x:c r="X168" s="41"/>
      <x:c r="Y168" s="41"/>
      <x:c r="Z168" s="41"/>
    </x:row>
    <x:row r="169">
      <x:c r="A169" s="41"/>
      <x:c r="B169" s="41"/>
      <x:c r="C169" s="41"/>
      <x:c r="D169" s="41"/>
      <x:c r="E169" s="41"/>
      <x:c r="F169" s="41"/>
      <x:c r="G169" s="41"/>
      <x:c r="H169" s="41"/>
      <x:c r="I169" s="41"/>
      <x:c r="J169" s="41"/>
      <x:c r="K169" s="41"/>
      <x:c r="L169" s="41"/>
      <x:c r="M169" s="41"/>
      <x:c r="N169" s="41"/>
      <x:c r="O169" s="41"/>
      <x:c r="P169" s="41"/>
      <x:c r="Q169" s="41"/>
      <x:c r="R169" s="41"/>
      <x:c r="S169" s="41"/>
      <x:c r="T169" s="41"/>
      <x:c r="U169" s="41"/>
      <x:c r="V169" s="41"/>
      <x:c r="W169" s="41"/>
      <x:c r="X169" s="41"/>
      <x:c r="Y169" s="41"/>
      <x:c r="Z169" s="41"/>
    </x:row>
    <x:row r="170">
      <x:c r="A170" s="41"/>
      <x:c r="B170" s="41"/>
      <x:c r="C170" s="41"/>
      <x:c r="D170" s="41"/>
      <x:c r="E170" s="41"/>
      <x:c r="F170" s="41"/>
      <x:c r="G170" s="41"/>
      <x:c r="H170" s="41"/>
      <x:c r="I170" s="41"/>
      <x:c r="J170" s="41"/>
      <x:c r="K170" s="41"/>
      <x:c r="L170" s="41"/>
      <x:c r="M170" s="41"/>
      <x:c r="N170" s="41"/>
      <x:c r="O170" s="41"/>
      <x:c r="P170" s="41"/>
      <x:c r="Q170" s="41"/>
      <x:c r="R170" s="41"/>
      <x:c r="S170" s="41"/>
      <x:c r="T170" s="41"/>
      <x:c r="U170" s="41"/>
      <x:c r="V170" s="41"/>
      <x:c r="W170" s="41"/>
      <x:c r="X170" s="41"/>
      <x:c r="Y170" s="41"/>
      <x:c r="Z170" s="41"/>
    </x:row>
    <x:row r="171">
      <x:c r="A171" s="41"/>
      <x:c r="B171" s="41"/>
      <x:c r="C171" s="41"/>
      <x:c r="D171" s="41"/>
      <x:c r="E171" s="41"/>
      <x:c r="F171" s="41"/>
      <x:c r="G171" s="41"/>
      <x:c r="H171" s="41"/>
      <x:c r="I171" s="41"/>
      <x:c r="J171" s="41"/>
      <x:c r="K171" s="41"/>
      <x:c r="L171" s="41"/>
      <x:c r="M171" s="41"/>
      <x:c r="N171" s="41"/>
      <x:c r="O171" s="41"/>
      <x:c r="P171" s="41"/>
      <x:c r="Q171" s="41"/>
      <x:c r="R171" s="41"/>
      <x:c r="S171" s="41"/>
      <x:c r="T171" s="41"/>
      <x:c r="U171" s="41"/>
      <x:c r="V171" s="41"/>
      <x:c r="W171" s="41"/>
      <x:c r="X171" s="41"/>
      <x:c r="Y171" s="41"/>
      <x:c r="Z171" s="41"/>
    </x:row>
    <x:row r="172">
      <x:c r="A172" s="41"/>
      <x:c r="B172" s="41"/>
      <x:c r="C172" s="41"/>
      <x:c r="D172" s="41"/>
      <x:c r="E172" s="41"/>
      <x:c r="F172" s="41"/>
      <x:c r="G172" s="41"/>
      <x:c r="H172" s="41"/>
      <x:c r="I172" s="41"/>
      <x:c r="J172" s="41"/>
      <x:c r="K172" s="41"/>
      <x:c r="L172" s="41"/>
      <x:c r="M172" s="41"/>
      <x:c r="N172" s="41"/>
      <x:c r="O172" s="41"/>
      <x:c r="P172" s="41"/>
      <x:c r="Q172" s="41"/>
      <x:c r="R172" s="41"/>
      <x:c r="S172" s="41"/>
      <x:c r="T172" s="41"/>
      <x:c r="U172" s="41"/>
      <x:c r="V172" s="41"/>
      <x:c r="W172" s="41"/>
      <x:c r="X172" s="41"/>
      <x:c r="Y172" s="41"/>
      <x:c r="Z172" s="41"/>
    </x:row>
    <x:row r="173">
      <x:c r="A173" s="41"/>
      <x:c r="B173" s="41"/>
      <x:c r="C173" s="41"/>
      <x:c r="D173" s="41"/>
      <x:c r="E173" s="41"/>
      <x:c r="F173" s="41"/>
      <x:c r="G173" s="41"/>
      <x:c r="H173" s="41"/>
      <x:c r="I173" s="41"/>
      <x:c r="J173" s="41"/>
      <x:c r="K173" s="41"/>
      <x:c r="L173" s="41"/>
      <x:c r="M173" s="41"/>
      <x:c r="N173" s="41"/>
      <x:c r="O173" s="41"/>
      <x:c r="P173" s="41"/>
      <x:c r="Q173" s="41"/>
      <x:c r="R173" s="41"/>
      <x:c r="S173" s="41"/>
      <x:c r="T173" s="41"/>
      <x:c r="U173" s="41"/>
      <x:c r="V173" s="41"/>
      <x:c r="W173" s="41"/>
      <x:c r="X173" s="41"/>
      <x:c r="Y173" s="41"/>
      <x:c r="Z173" s="41"/>
    </x:row>
    <x:row r="174">
      <x:c r="A174" s="41"/>
      <x:c r="B174" s="41"/>
      <x:c r="C174" s="41"/>
      <x:c r="D174" s="41"/>
      <x:c r="E174" s="41"/>
      <x:c r="F174" s="41"/>
      <x:c r="G174" s="41"/>
      <x:c r="H174" s="41"/>
      <x:c r="I174" s="41"/>
      <x:c r="J174" s="41"/>
      <x:c r="K174" s="41"/>
      <x:c r="L174" s="41"/>
      <x:c r="M174" s="41"/>
      <x:c r="N174" s="41"/>
      <x:c r="O174" s="41"/>
      <x:c r="P174" s="41"/>
      <x:c r="Q174" s="41"/>
      <x:c r="R174" s="41"/>
      <x:c r="S174" s="41"/>
      <x:c r="T174" s="41"/>
      <x:c r="U174" s="41"/>
      <x:c r="V174" s="41"/>
      <x:c r="W174" s="41"/>
      <x:c r="X174" s="41"/>
      <x:c r="Y174" s="41"/>
      <x:c r="Z174" s="41"/>
    </x:row>
    <x:row r="175">
      <x:c r="A175" s="41"/>
      <x:c r="B175" s="41"/>
      <x:c r="C175" s="41"/>
      <x:c r="D175" s="41"/>
      <x:c r="E175" s="41"/>
      <x:c r="F175" s="41"/>
      <x:c r="G175" s="41"/>
      <x:c r="H175" s="41"/>
      <x:c r="I175" s="41"/>
      <x:c r="J175" s="41"/>
      <x:c r="K175" s="41"/>
      <x:c r="L175" s="41"/>
      <x:c r="M175" s="41"/>
      <x:c r="N175" s="41"/>
      <x:c r="O175" s="41"/>
      <x:c r="P175" s="41"/>
      <x:c r="Q175" s="41"/>
      <x:c r="R175" s="41"/>
      <x:c r="S175" s="41"/>
      <x:c r="T175" s="41"/>
      <x:c r="U175" s="41"/>
      <x:c r="V175" s="41"/>
      <x:c r="W175" s="41"/>
      <x:c r="X175" s="41"/>
      <x:c r="Y175" s="41"/>
      <x:c r="Z175" s="41"/>
    </x:row>
    <x:row r="176">
      <x:c r="A176" s="41"/>
      <x:c r="B176" s="41"/>
      <x:c r="C176" s="41"/>
      <x:c r="D176" s="41"/>
      <x:c r="E176" s="41"/>
      <x:c r="F176" s="41"/>
      <x:c r="G176" s="41"/>
      <x:c r="H176" s="41"/>
      <x:c r="I176" s="41"/>
      <x:c r="J176" s="41"/>
      <x:c r="K176" s="41"/>
      <x:c r="L176" s="41"/>
      <x:c r="M176" s="41"/>
      <x:c r="N176" s="41"/>
      <x:c r="O176" s="41"/>
      <x:c r="P176" s="41"/>
      <x:c r="Q176" s="41"/>
      <x:c r="R176" s="41"/>
      <x:c r="S176" s="41"/>
      <x:c r="T176" s="41"/>
      <x:c r="U176" s="41"/>
      <x:c r="V176" s="41"/>
      <x:c r="W176" s="41"/>
      <x:c r="X176" s="41"/>
      <x:c r="Y176" s="41"/>
      <x:c r="Z176" s="41"/>
    </x:row>
    <x:row r="177">
      <x:c r="A177" s="41"/>
      <x:c r="B177" s="41"/>
      <x:c r="C177" s="41"/>
      <x:c r="D177" s="41"/>
      <x:c r="E177" s="41"/>
      <x:c r="F177" s="41"/>
      <x:c r="G177" s="41"/>
      <x:c r="H177" s="41"/>
      <x:c r="I177" s="41"/>
      <x:c r="J177" s="41"/>
      <x:c r="K177" s="41"/>
      <x:c r="L177" s="41"/>
      <x:c r="M177" s="41"/>
      <x:c r="N177" s="41"/>
      <x:c r="O177" s="41"/>
      <x:c r="P177" s="41"/>
      <x:c r="Q177" s="41"/>
      <x:c r="R177" s="41"/>
      <x:c r="S177" s="41"/>
      <x:c r="T177" s="41"/>
      <x:c r="U177" s="41"/>
      <x:c r="V177" s="41"/>
      <x:c r="W177" s="41"/>
      <x:c r="X177" s="41"/>
      <x:c r="Y177" s="41"/>
      <x:c r="Z177" s="41"/>
    </x:row>
    <x:row r="178">
      <x:c r="A178" s="41"/>
      <x:c r="B178" s="41"/>
      <x:c r="C178" s="41"/>
      <x:c r="D178" s="41"/>
      <x:c r="E178" s="41"/>
      <x:c r="F178" s="41"/>
      <x:c r="G178" s="41"/>
      <x:c r="H178" s="41"/>
      <x:c r="I178" s="41"/>
      <x:c r="J178" s="41"/>
      <x:c r="K178" s="41"/>
      <x:c r="L178" s="41"/>
      <x:c r="M178" s="41"/>
      <x:c r="N178" s="41"/>
      <x:c r="O178" s="41"/>
      <x:c r="P178" s="41"/>
      <x:c r="Q178" s="41"/>
      <x:c r="R178" s="41"/>
      <x:c r="S178" s="41"/>
      <x:c r="T178" s="41"/>
      <x:c r="U178" s="41"/>
      <x:c r="V178" s="41"/>
      <x:c r="W178" s="41"/>
      <x:c r="X178" s="41"/>
      <x:c r="Y178" s="41"/>
      <x:c r="Z178" s="41"/>
    </x:row>
    <x:row r="179">
      <x:c r="A179" s="41"/>
      <x:c r="B179" s="41"/>
      <x:c r="C179" s="41"/>
      <x:c r="D179" s="41"/>
      <x:c r="E179" s="41"/>
      <x:c r="F179" s="41"/>
      <x:c r="G179" s="41"/>
      <x:c r="H179" s="41"/>
      <x:c r="I179" s="41"/>
      <x:c r="J179" s="41"/>
      <x:c r="K179" s="41"/>
      <x:c r="L179" s="41"/>
      <x:c r="M179" s="41"/>
      <x:c r="N179" s="41"/>
      <x:c r="O179" s="41"/>
      <x:c r="P179" s="41"/>
      <x:c r="Q179" s="41"/>
      <x:c r="R179" s="41"/>
      <x:c r="S179" s="41"/>
      <x:c r="T179" s="41"/>
      <x:c r="U179" s="41"/>
      <x:c r="V179" s="41"/>
      <x:c r="W179" s="41"/>
      <x:c r="X179" s="41"/>
      <x:c r="Y179" s="41"/>
      <x:c r="Z179" s="41"/>
    </x:row>
    <x:row r="180">
      <x:c r="A180" s="41"/>
      <x:c r="B180" s="41"/>
      <x:c r="C180" s="41"/>
      <x:c r="D180" s="41"/>
      <x:c r="E180" s="41"/>
      <x:c r="F180" s="41"/>
      <x:c r="G180" s="41"/>
      <x:c r="H180" s="41"/>
      <x:c r="I180" s="41"/>
      <x:c r="J180" s="41"/>
      <x:c r="K180" s="41"/>
      <x:c r="L180" s="41"/>
      <x:c r="M180" s="41"/>
      <x:c r="N180" s="41"/>
      <x:c r="O180" s="41"/>
      <x:c r="P180" s="41"/>
      <x:c r="Q180" s="41"/>
      <x:c r="R180" s="41"/>
      <x:c r="S180" s="41"/>
      <x:c r="T180" s="41"/>
      <x:c r="U180" s="41"/>
      <x:c r="V180" s="41"/>
      <x:c r="W180" s="41"/>
      <x:c r="X180" s="41"/>
      <x:c r="Y180" s="41"/>
      <x:c r="Z180" s="41"/>
    </x:row>
    <x:row r="181">
      <x:c r="A181" s="41"/>
      <x:c r="B181" s="41"/>
      <x:c r="C181" s="41"/>
      <x:c r="D181" s="41"/>
      <x:c r="E181" s="41"/>
      <x:c r="F181" s="41"/>
      <x:c r="G181" s="41"/>
      <x:c r="H181" s="41"/>
      <x:c r="I181" s="41"/>
      <x:c r="J181" s="41"/>
      <x:c r="K181" s="41"/>
      <x:c r="L181" s="41"/>
      <x:c r="M181" s="41"/>
      <x:c r="N181" s="41"/>
      <x:c r="O181" s="41"/>
      <x:c r="P181" s="41"/>
      <x:c r="Q181" s="41"/>
      <x:c r="R181" s="41"/>
      <x:c r="S181" s="41"/>
      <x:c r="T181" s="41"/>
      <x:c r="U181" s="41"/>
      <x:c r="V181" s="41"/>
      <x:c r="W181" s="41"/>
      <x:c r="X181" s="41"/>
      <x:c r="Y181" s="41"/>
      <x:c r="Z181" s="41"/>
    </x:row>
    <x:row r="182">
      <x:c r="A182" s="41"/>
      <x:c r="B182" s="41"/>
      <x:c r="C182" s="41"/>
      <x:c r="D182" s="41"/>
      <x:c r="E182" s="41"/>
      <x:c r="F182" s="41"/>
      <x:c r="G182" s="41"/>
      <x:c r="H182" s="41"/>
      <x:c r="I182" s="41"/>
      <x:c r="J182" s="41"/>
      <x:c r="K182" s="41"/>
      <x:c r="L182" s="41"/>
      <x:c r="M182" s="41"/>
      <x:c r="N182" s="41"/>
      <x:c r="O182" s="41"/>
      <x:c r="P182" s="41"/>
      <x:c r="Q182" s="41"/>
      <x:c r="R182" s="41"/>
      <x:c r="S182" s="41"/>
      <x:c r="T182" s="41"/>
      <x:c r="U182" s="41"/>
      <x:c r="V182" s="41"/>
      <x:c r="W182" s="41"/>
      <x:c r="X182" s="41"/>
      <x:c r="Y182" s="41"/>
      <x:c r="Z182" s="41"/>
    </x:row>
    <x:row r="183">
      <x:c r="A183" s="41"/>
      <x:c r="B183" s="41"/>
      <x:c r="C183" s="41"/>
      <x:c r="D183" s="41"/>
      <x:c r="E183" s="41"/>
      <x:c r="F183" s="41"/>
      <x:c r="G183" s="41"/>
      <x:c r="H183" s="41"/>
      <x:c r="I183" s="41"/>
      <x:c r="J183" s="41"/>
      <x:c r="K183" s="41"/>
      <x:c r="L183" s="41"/>
      <x:c r="M183" s="41"/>
      <x:c r="N183" s="41"/>
      <x:c r="O183" s="41"/>
      <x:c r="P183" s="41"/>
      <x:c r="Q183" s="41"/>
      <x:c r="R183" s="41"/>
      <x:c r="S183" s="41"/>
      <x:c r="T183" s="41"/>
      <x:c r="U183" s="41"/>
      <x:c r="V183" s="41"/>
      <x:c r="W183" s="41"/>
      <x:c r="X183" s="41"/>
      <x:c r="Y183" s="41"/>
      <x:c r="Z183" s="41"/>
    </x:row>
    <x:row r="184">
      <x:c r="A184" s="41"/>
      <x:c r="B184" s="41"/>
      <x:c r="C184" s="41"/>
      <x:c r="D184" s="41"/>
      <x:c r="E184" s="41"/>
      <x:c r="F184" s="41"/>
      <x:c r="G184" s="41"/>
      <x:c r="H184" s="41"/>
      <x:c r="I184" s="41"/>
      <x:c r="J184" s="41"/>
      <x:c r="K184" s="41"/>
      <x:c r="L184" s="41"/>
      <x:c r="M184" s="41"/>
      <x:c r="N184" s="41"/>
      <x:c r="O184" s="41"/>
      <x:c r="P184" s="41"/>
      <x:c r="Q184" s="41"/>
      <x:c r="R184" s="41"/>
      <x:c r="S184" s="41"/>
      <x:c r="T184" s="41"/>
      <x:c r="U184" s="41"/>
      <x:c r="V184" s="41"/>
      <x:c r="W184" s="41"/>
      <x:c r="X184" s="41"/>
      <x:c r="Y184" s="41"/>
      <x:c r="Z184" s="41"/>
    </x:row>
    <x:row r="185">
      <x:c r="A185" s="41"/>
      <x:c r="B185" s="41"/>
      <x:c r="C185" s="41"/>
      <x:c r="D185" s="41"/>
      <x:c r="E185" s="41"/>
      <x:c r="F185" s="41"/>
      <x:c r="G185" s="41"/>
      <x:c r="H185" s="41"/>
      <x:c r="I185" s="41"/>
      <x:c r="J185" s="41"/>
      <x:c r="K185" s="41"/>
      <x:c r="L185" s="41"/>
      <x:c r="M185" s="41"/>
      <x:c r="N185" s="41"/>
      <x:c r="O185" s="41"/>
      <x:c r="P185" s="41"/>
      <x:c r="Q185" s="41"/>
      <x:c r="R185" s="41"/>
      <x:c r="S185" s="41"/>
      <x:c r="T185" s="41"/>
      <x:c r="U185" s="41"/>
      <x:c r="V185" s="41"/>
      <x:c r="W185" s="41"/>
      <x:c r="X185" s="41"/>
      <x:c r="Y185" s="41"/>
      <x:c r="Z185" s="41"/>
    </x:row>
    <x:row r="186">
      <x:c r="A186" s="41"/>
      <x:c r="B186" s="41"/>
      <x:c r="C186" s="41"/>
      <x:c r="D186" s="41"/>
      <x:c r="E186" s="41"/>
      <x:c r="F186" s="41"/>
      <x:c r="G186" s="41"/>
      <x:c r="H186" s="41"/>
      <x:c r="I186" s="41"/>
      <x:c r="J186" s="41"/>
      <x:c r="K186" s="41"/>
      <x:c r="L186" s="41"/>
      <x:c r="M186" s="41"/>
      <x:c r="N186" s="41"/>
      <x:c r="O186" s="41"/>
      <x:c r="P186" s="41"/>
      <x:c r="Q186" s="41"/>
      <x:c r="R186" s="41"/>
      <x:c r="S186" s="41"/>
      <x:c r="T186" s="41"/>
      <x:c r="U186" s="41"/>
      <x:c r="V186" s="41"/>
      <x:c r="W186" s="41"/>
      <x:c r="X186" s="41"/>
      <x:c r="Y186" s="41"/>
      <x:c r="Z186" s="41"/>
    </x:row>
    <x:row r="187">
      <x:c r="A187" s="41"/>
      <x:c r="B187" s="41"/>
      <x:c r="C187" s="41"/>
      <x:c r="D187" s="41"/>
      <x:c r="E187" s="41"/>
      <x:c r="F187" s="41"/>
      <x:c r="G187" s="41"/>
      <x:c r="H187" s="41"/>
      <x:c r="I187" s="41"/>
      <x:c r="J187" s="41"/>
      <x:c r="K187" s="41"/>
      <x:c r="L187" s="41"/>
      <x:c r="M187" s="41"/>
      <x:c r="N187" s="41"/>
      <x:c r="O187" s="41"/>
      <x:c r="P187" s="41"/>
      <x:c r="Q187" s="41"/>
      <x:c r="R187" s="41"/>
      <x:c r="S187" s="41"/>
      <x:c r="T187" s="41"/>
      <x:c r="U187" s="41"/>
      <x:c r="V187" s="41"/>
      <x:c r="W187" s="41"/>
      <x:c r="X187" s="41"/>
      <x:c r="Y187" s="41"/>
      <x:c r="Z187" s="41"/>
    </x:row>
    <x:row r="188">
      <x:c r="A188" s="41"/>
      <x:c r="B188" s="41"/>
      <x:c r="C188" s="41"/>
      <x:c r="D188" s="41"/>
      <x:c r="E188" s="41"/>
      <x:c r="F188" s="41"/>
      <x:c r="G188" s="41"/>
      <x:c r="H188" s="41"/>
      <x:c r="I188" s="41"/>
      <x:c r="J188" s="41"/>
      <x:c r="K188" s="41"/>
      <x:c r="L188" s="41"/>
      <x:c r="M188" s="41"/>
      <x:c r="N188" s="41"/>
      <x:c r="O188" s="41"/>
      <x:c r="P188" s="41"/>
      <x:c r="Q188" s="41"/>
      <x:c r="R188" s="41"/>
      <x:c r="S188" s="41"/>
      <x:c r="T188" s="41"/>
      <x:c r="U188" s="41"/>
      <x:c r="V188" s="41"/>
      <x:c r="W188" s="41"/>
      <x:c r="X188" s="41"/>
      <x:c r="Y188" s="41"/>
      <x:c r="Z188" s="41"/>
    </x:row>
    <x:row r="189">
      <x:c r="A189" s="41"/>
      <x:c r="B189" s="41"/>
      <x:c r="C189" s="41"/>
      <x:c r="D189" s="41"/>
      <x:c r="E189" s="41"/>
      <x:c r="F189" s="41"/>
      <x:c r="G189" s="41"/>
      <x:c r="H189" s="41"/>
      <x:c r="I189" s="41"/>
      <x:c r="J189" s="41"/>
      <x:c r="K189" s="41"/>
      <x:c r="L189" s="41"/>
      <x:c r="M189" s="41"/>
      <x:c r="N189" s="41"/>
      <x:c r="O189" s="41"/>
      <x:c r="P189" s="41"/>
      <x:c r="Q189" s="41"/>
      <x:c r="R189" s="41"/>
      <x:c r="S189" s="41"/>
      <x:c r="T189" s="41"/>
      <x:c r="U189" s="41"/>
      <x:c r="V189" s="41"/>
      <x:c r="W189" s="41"/>
      <x:c r="X189" s="41"/>
      <x:c r="Y189" s="41"/>
      <x:c r="Z189" s="41"/>
    </x:row>
    <x:row r="190">
      <x:c r="A190" s="41"/>
      <x:c r="B190" s="41"/>
      <x:c r="C190" s="41"/>
      <x:c r="D190" s="41"/>
      <x:c r="E190" s="41"/>
      <x:c r="F190" s="41"/>
      <x:c r="G190" s="41"/>
      <x:c r="H190" s="41"/>
      <x:c r="I190" s="41"/>
      <x:c r="J190" s="41"/>
      <x:c r="K190" s="41"/>
      <x:c r="L190" s="41"/>
      <x:c r="M190" s="41"/>
      <x:c r="N190" s="41"/>
      <x:c r="O190" s="41"/>
      <x:c r="P190" s="41"/>
      <x:c r="Q190" s="41"/>
      <x:c r="R190" s="41"/>
      <x:c r="S190" s="41"/>
      <x:c r="T190" s="41"/>
      <x:c r="U190" s="41"/>
      <x:c r="V190" s="41"/>
      <x:c r="W190" s="41"/>
      <x:c r="X190" s="41"/>
      <x:c r="Y190" s="41"/>
      <x:c r="Z190" s="41"/>
    </x:row>
    <x:row r="191">
      <x:c r="A191" s="41"/>
      <x:c r="B191" s="41"/>
      <x:c r="C191" s="41"/>
      <x:c r="D191" s="41"/>
      <x:c r="E191" s="41"/>
      <x:c r="F191" s="41"/>
      <x:c r="G191" s="41"/>
      <x:c r="H191" s="41"/>
      <x:c r="I191" s="41"/>
      <x:c r="J191" s="41"/>
      <x:c r="K191" s="41"/>
      <x:c r="L191" s="41"/>
      <x:c r="M191" s="41"/>
      <x:c r="N191" s="41"/>
      <x:c r="O191" s="41"/>
      <x:c r="P191" s="41"/>
      <x:c r="Q191" s="41"/>
      <x:c r="R191" s="41"/>
      <x:c r="S191" s="41"/>
      <x:c r="T191" s="41"/>
      <x:c r="U191" s="41"/>
      <x:c r="V191" s="41"/>
      <x:c r="W191" s="41"/>
      <x:c r="X191" s="41"/>
      <x:c r="Y191" s="41"/>
      <x:c r="Z191" s="41"/>
    </x:row>
    <x:row r="192">
      <x:c r="A192" s="41"/>
      <x:c r="B192" s="41"/>
      <x:c r="C192" s="41"/>
      <x:c r="D192" s="41"/>
      <x:c r="E192" s="41"/>
      <x:c r="F192" s="41"/>
      <x:c r="G192" s="41"/>
      <x:c r="H192" s="41"/>
      <x:c r="I192" s="41"/>
      <x:c r="J192" s="41"/>
      <x:c r="K192" s="41"/>
      <x:c r="L192" s="41"/>
      <x:c r="M192" s="41"/>
      <x:c r="N192" s="41"/>
      <x:c r="O192" s="41"/>
      <x:c r="P192" s="41"/>
      <x:c r="Q192" s="41"/>
      <x:c r="R192" s="41"/>
      <x:c r="S192" s="41"/>
      <x:c r="T192" s="41"/>
      <x:c r="U192" s="41"/>
      <x:c r="V192" s="41"/>
      <x:c r="W192" s="41"/>
      <x:c r="X192" s="41"/>
      <x:c r="Y192" s="41"/>
      <x:c r="Z192" s="41"/>
    </x:row>
    <x:row r="193">
      <x:c r="A193" s="41"/>
      <x:c r="B193" s="41"/>
      <x:c r="C193" s="41"/>
      <x:c r="D193" s="41"/>
      <x:c r="E193" s="41"/>
      <x:c r="F193" s="41"/>
      <x:c r="G193" s="41"/>
      <x:c r="H193" s="41"/>
      <x:c r="I193" s="41"/>
      <x:c r="J193" s="41"/>
      <x:c r="K193" s="41"/>
      <x:c r="L193" s="41"/>
      <x:c r="M193" s="41"/>
      <x:c r="N193" s="41"/>
      <x:c r="O193" s="41"/>
      <x:c r="P193" s="41"/>
      <x:c r="Q193" s="41"/>
      <x:c r="R193" s="41"/>
      <x:c r="S193" s="41"/>
      <x:c r="T193" s="41"/>
      <x:c r="U193" s="41"/>
      <x:c r="V193" s="41"/>
      <x:c r="W193" s="41"/>
      <x:c r="X193" s="41"/>
      <x:c r="Y193" s="41"/>
      <x:c r="Z193" s="41"/>
    </x:row>
    <x:row r="194">
      <x:c r="A194" s="41"/>
      <x:c r="B194" s="41"/>
      <x:c r="C194" s="41"/>
      <x:c r="D194" s="41"/>
      <x:c r="E194" s="41"/>
      <x:c r="F194" s="41"/>
      <x:c r="G194" s="41"/>
      <x:c r="H194" s="41"/>
      <x:c r="I194" s="41"/>
      <x:c r="J194" s="41"/>
      <x:c r="K194" s="41"/>
      <x:c r="L194" s="41"/>
      <x:c r="M194" s="41"/>
      <x:c r="N194" s="41"/>
      <x:c r="O194" s="41"/>
      <x:c r="P194" s="41"/>
      <x:c r="Q194" s="41"/>
      <x:c r="R194" s="41"/>
      <x:c r="S194" s="41"/>
      <x:c r="T194" s="41"/>
      <x:c r="U194" s="41"/>
      <x:c r="V194" s="41"/>
      <x:c r="W194" s="41"/>
      <x:c r="X194" s="41"/>
      <x:c r="Y194" s="41"/>
      <x:c r="Z194" s="41"/>
    </x:row>
    <x:row r="195">
      <x:c r="A195" s="41"/>
      <x:c r="B195" s="41"/>
      <x:c r="C195" s="41"/>
      <x:c r="D195" s="41"/>
      <x:c r="E195" s="41"/>
      <x:c r="F195" s="41"/>
      <x:c r="G195" s="41"/>
      <x:c r="H195" s="41"/>
      <x:c r="I195" s="41"/>
      <x:c r="J195" s="41"/>
      <x:c r="K195" s="41"/>
      <x:c r="L195" s="41"/>
      <x:c r="M195" s="41"/>
      <x:c r="N195" s="41"/>
      <x:c r="O195" s="41"/>
      <x:c r="P195" s="41"/>
      <x:c r="Q195" s="41"/>
      <x:c r="R195" s="41"/>
      <x:c r="S195" s="41"/>
      <x:c r="T195" s="41"/>
      <x:c r="U195" s="41"/>
      <x:c r="V195" s="41"/>
      <x:c r="W195" s="41"/>
      <x:c r="X195" s="41"/>
      <x:c r="Y195" s="41"/>
      <x:c r="Z195" s="41"/>
    </x:row>
    <x:row r="196">
      <x:c r="A196" s="41"/>
      <x:c r="B196" s="41"/>
      <x:c r="C196" s="41"/>
      <x:c r="D196" s="41"/>
      <x:c r="E196" s="41"/>
      <x:c r="F196" s="41"/>
      <x:c r="G196" s="41"/>
      <x:c r="H196" s="41"/>
      <x:c r="I196" s="41"/>
      <x:c r="J196" s="41"/>
      <x:c r="K196" s="41"/>
      <x:c r="L196" s="41"/>
      <x:c r="M196" s="41"/>
      <x:c r="N196" s="41"/>
      <x:c r="O196" s="41"/>
      <x:c r="P196" s="41"/>
      <x:c r="Q196" s="41"/>
      <x:c r="R196" s="41"/>
      <x:c r="S196" s="41"/>
      <x:c r="T196" s="41"/>
      <x:c r="U196" s="41"/>
      <x:c r="V196" s="41"/>
      <x:c r="W196" s="41"/>
      <x:c r="X196" s="41"/>
      <x:c r="Y196" s="41"/>
      <x:c r="Z196" s="41"/>
    </x:row>
    <x:row r="197">
      <x:c r="A197" s="41"/>
      <x:c r="B197" s="41"/>
      <x:c r="C197" s="41"/>
      <x:c r="D197" s="41"/>
      <x:c r="E197" s="41"/>
      <x:c r="F197" s="41"/>
      <x:c r="G197" s="41"/>
      <x:c r="H197" s="41"/>
      <x:c r="I197" s="41"/>
      <x:c r="J197" s="41"/>
      <x:c r="K197" s="41"/>
      <x:c r="L197" s="41"/>
      <x:c r="M197" s="41"/>
      <x:c r="N197" s="41"/>
      <x:c r="O197" s="41"/>
      <x:c r="P197" s="41"/>
      <x:c r="Q197" s="41"/>
      <x:c r="R197" s="41"/>
      <x:c r="S197" s="41"/>
      <x:c r="T197" s="41"/>
      <x:c r="U197" s="41"/>
      <x:c r="V197" s="41"/>
      <x:c r="W197" s="41"/>
      <x:c r="X197" s="41"/>
      <x:c r="Y197" s="41"/>
      <x:c r="Z197" s="41"/>
    </x:row>
    <x:row r="198">
      <x:c r="A198" s="41"/>
      <x:c r="B198" s="41"/>
      <x:c r="C198" s="41"/>
      <x:c r="D198" s="41"/>
      <x:c r="E198" s="41"/>
      <x:c r="F198" s="41"/>
      <x:c r="G198" s="41"/>
      <x:c r="H198" s="41"/>
      <x:c r="I198" s="41"/>
      <x:c r="J198" s="41"/>
      <x:c r="K198" s="41"/>
      <x:c r="L198" s="41"/>
      <x:c r="M198" s="41"/>
      <x:c r="N198" s="41"/>
      <x:c r="O198" s="41"/>
      <x:c r="P198" s="41"/>
      <x:c r="Q198" s="41"/>
      <x:c r="R198" s="41"/>
      <x:c r="S198" s="41"/>
      <x:c r="T198" s="41"/>
      <x:c r="U198" s="41"/>
      <x:c r="V198" s="41"/>
      <x:c r="W198" s="41"/>
      <x:c r="X198" s="41"/>
      <x:c r="Y198" s="41"/>
      <x:c r="Z198" s="41"/>
    </x:row>
    <x:row r="199">
      <x:c r="A199" s="41"/>
      <x:c r="B199" s="41"/>
      <x:c r="C199" s="41"/>
      <x:c r="D199" s="41"/>
      <x:c r="E199" s="41"/>
      <x:c r="F199" s="41"/>
      <x:c r="G199" s="41"/>
      <x:c r="H199" s="41"/>
      <x:c r="I199" s="41"/>
      <x:c r="J199" s="41"/>
      <x:c r="K199" s="41"/>
      <x:c r="L199" s="41"/>
      <x:c r="M199" s="41"/>
      <x:c r="N199" s="41"/>
      <x:c r="O199" s="41"/>
      <x:c r="P199" s="41"/>
      <x:c r="Q199" s="41"/>
      <x:c r="R199" s="41"/>
      <x:c r="S199" s="41"/>
      <x:c r="T199" s="41"/>
      <x:c r="U199" s="41"/>
      <x:c r="V199" s="41"/>
      <x:c r="W199" s="41"/>
      <x:c r="X199" s="41"/>
      <x:c r="Y199" s="41"/>
      <x:c r="Z199" s="41"/>
    </x:row>
    <x:row r="200">
      <x:c r="A200" s="41"/>
      <x:c r="B200" s="41"/>
      <x:c r="C200" s="41"/>
      <x:c r="D200" s="41"/>
      <x:c r="E200" s="41"/>
      <x:c r="F200" s="41"/>
      <x:c r="G200" s="41"/>
      <x:c r="H200" s="41"/>
      <x:c r="I200" s="41"/>
      <x:c r="J200" s="41"/>
      <x:c r="K200" s="41"/>
      <x:c r="L200" s="41"/>
      <x:c r="M200" s="41"/>
      <x:c r="N200" s="41"/>
      <x:c r="O200" s="41"/>
      <x:c r="P200" s="41"/>
      <x:c r="Q200" s="41"/>
      <x:c r="R200" s="41"/>
      <x:c r="S200" s="41"/>
      <x:c r="T200" s="41"/>
      <x:c r="U200" s="41"/>
      <x:c r="V200" s="41"/>
      <x:c r="W200" s="41"/>
      <x:c r="X200" s="41"/>
      <x:c r="Y200" s="41"/>
      <x:c r="Z200" s="41"/>
    </x:row>
    <x:row r="201">
      <x:c r="A201" s="41"/>
      <x:c r="B201" s="41"/>
      <x:c r="C201" s="41"/>
      <x:c r="D201" s="41"/>
      <x:c r="E201" s="41"/>
      <x:c r="F201" s="41"/>
      <x:c r="G201" s="41"/>
      <x:c r="H201" s="41"/>
      <x:c r="I201" s="41"/>
      <x:c r="J201" s="41"/>
      <x:c r="K201" s="41"/>
      <x:c r="L201" s="41"/>
      <x:c r="M201" s="41"/>
      <x:c r="N201" s="41"/>
      <x:c r="O201" s="41"/>
      <x:c r="P201" s="41"/>
      <x:c r="Q201" s="41"/>
      <x:c r="R201" s="41"/>
      <x:c r="S201" s="41"/>
      <x:c r="T201" s="41"/>
      <x:c r="U201" s="41"/>
      <x:c r="V201" s="41"/>
      <x:c r="W201" s="41"/>
      <x:c r="X201" s="41"/>
      <x:c r="Y201" s="41"/>
      <x:c r="Z201" s="41"/>
    </x:row>
    <x:row r="202">
      <x:c r="A202" s="41"/>
      <x:c r="B202" s="41"/>
      <x:c r="C202" s="41"/>
      <x:c r="D202" s="41"/>
      <x:c r="E202" s="41"/>
      <x:c r="F202" s="41"/>
      <x:c r="G202" s="41"/>
      <x:c r="H202" s="41"/>
      <x:c r="I202" s="41"/>
      <x:c r="J202" s="41"/>
      <x:c r="K202" s="41"/>
      <x:c r="L202" s="41"/>
      <x:c r="M202" s="41"/>
      <x:c r="N202" s="41"/>
      <x:c r="O202" s="41"/>
      <x:c r="P202" s="41"/>
      <x:c r="Q202" s="41"/>
      <x:c r="R202" s="41"/>
      <x:c r="S202" s="41"/>
      <x:c r="T202" s="41"/>
      <x:c r="U202" s="41"/>
      <x:c r="V202" s="41"/>
      <x:c r="W202" s="41"/>
      <x:c r="X202" s="41"/>
      <x:c r="Y202" s="41"/>
      <x:c r="Z202" s="41"/>
    </x:row>
    <x:row r="203">
      <x:c r="A203" s="41"/>
      <x:c r="B203" s="41"/>
      <x:c r="C203" s="41"/>
      <x:c r="D203" s="41"/>
      <x:c r="E203" s="41"/>
      <x:c r="F203" s="41"/>
      <x:c r="G203" s="41"/>
      <x:c r="H203" s="41"/>
      <x:c r="I203" s="41"/>
      <x:c r="J203" s="41"/>
      <x:c r="K203" s="41"/>
      <x:c r="L203" s="41"/>
      <x:c r="M203" s="41"/>
      <x:c r="N203" s="41"/>
      <x:c r="O203" s="41"/>
      <x:c r="P203" s="41"/>
      <x:c r="Q203" s="41"/>
      <x:c r="R203" s="41"/>
      <x:c r="S203" s="41"/>
      <x:c r="T203" s="41"/>
      <x:c r="U203" s="41"/>
      <x:c r="V203" s="41"/>
      <x:c r="W203" s="41"/>
      <x:c r="X203" s="41"/>
      <x:c r="Y203" s="41"/>
      <x:c r="Z203" s="41"/>
    </x:row>
    <x:row r="204">
      <x:c r="A204" s="41"/>
      <x:c r="B204" s="41"/>
      <x:c r="C204" s="41"/>
      <x:c r="D204" s="41"/>
      <x:c r="E204" s="41"/>
      <x:c r="F204" s="41"/>
      <x:c r="G204" s="41"/>
      <x:c r="H204" s="41"/>
      <x:c r="I204" s="41"/>
      <x:c r="J204" s="41"/>
      <x:c r="K204" s="41"/>
      <x:c r="L204" s="41"/>
      <x:c r="M204" s="41"/>
      <x:c r="N204" s="41"/>
      <x:c r="O204" s="41"/>
      <x:c r="P204" s="41"/>
      <x:c r="Q204" s="41"/>
      <x:c r="R204" s="41"/>
      <x:c r="S204" s="41"/>
      <x:c r="T204" s="41"/>
      <x:c r="U204" s="41"/>
      <x:c r="V204" s="41"/>
      <x:c r="W204" s="41"/>
      <x:c r="X204" s="41"/>
      <x:c r="Y204" s="41"/>
      <x:c r="Z204" s="41"/>
    </x:row>
    <x:row r="205">
      <x:c r="A205" s="41"/>
      <x:c r="B205" s="41"/>
      <x:c r="C205" s="41"/>
      <x:c r="D205" s="41"/>
      <x:c r="E205" s="41"/>
      <x:c r="F205" s="41"/>
      <x:c r="G205" s="41"/>
      <x:c r="H205" s="41"/>
      <x:c r="I205" s="41"/>
      <x:c r="J205" s="41"/>
      <x:c r="K205" s="41"/>
      <x:c r="L205" s="41"/>
      <x:c r="M205" s="41"/>
      <x:c r="N205" s="41"/>
      <x:c r="O205" s="41"/>
      <x:c r="P205" s="41"/>
      <x:c r="Q205" s="41"/>
      <x:c r="R205" s="41"/>
      <x:c r="S205" s="41"/>
      <x:c r="T205" s="41"/>
      <x:c r="U205" s="41"/>
      <x:c r="V205" s="41"/>
      <x:c r="W205" s="41"/>
      <x:c r="X205" s="41"/>
      <x:c r="Y205" s="41"/>
      <x:c r="Z205" s="41"/>
    </x:row>
    <x:row r="206">
      <x:c r="A206" s="41"/>
      <x:c r="B206" s="41"/>
      <x:c r="C206" s="41"/>
      <x:c r="D206" s="41"/>
      <x:c r="E206" s="41"/>
      <x:c r="F206" s="41"/>
      <x:c r="G206" s="41"/>
      <x:c r="H206" s="41"/>
      <x:c r="I206" s="41"/>
      <x:c r="J206" s="41"/>
      <x:c r="K206" s="41"/>
      <x:c r="L206" s="41"/>
      <x:c r="M206" s="41"/>
      <x:c r="N206" s="41"/>
      <x:c r="O206" s="41"/>
      <x:c r="P206" s="41"/>
      <x:c r="Q206" s="41"/>
      <x:c r="R206" s="41"/>
      <x:c r="S206" s="41"/>
      <x:c r="T206" s="41"/>
      <x:c r="U206" s="41"/>
      <x:c r="V206" s="41"/>
      <x:c r="W206" s="41"/>
      <x:c r="X206" s="41"/>
      <x:c r="Y206" s="41"/>
      <x:c r="Z206" s="41"/>
    </x:row>
    <x:row r="207">
      <x:c r="A207" s="41"/>
      <x:c r="B207" s="41"/>
      <x:c r="C207" s="41"/>
      <x:c r="D207" s="41"/>
      <x:c r="E207" s="41"/>
      <x:c r="F207" s="41"/>
      <x:c r="G207" s="41"/>
      <x:c r="H207" s="41"/>
      <x:c r="I207" s="41"/>
      <x:c r="J207" s="41"/>
      <x:c r="K207" s="41"/>
      <x:c r="L207" s="41"/>
      <x:c r="M207" s="41"/>
      <x:c r="N207" s="41"/>
      <x:c r="O207" s="41"/>
      <x:c r="P207" s="41"/>
      <x:c r="Q207" s="41"/>
      <x:c r="R207" s="41"/>
      <x:c r="S207" s="41"/>
      <x:c r="T207" s="41"/>
      <x:c r="U207" s="41"/>
      <x:c r="V207" s="41"/>
      <x:c r="W207" s="41"/>
      <x:c r="X207" s="41"/>
      <x:c r="Y207" s="41"/>
      <x:c r="Z207" s="41"/>
    </x:row>
    <x:row r="208">
      <x:c r="A208" s="41"/>
      <x:c r="B208" s="41"/>
      <x:c r="C208" s="41"/>
      <x:c r="D208" s="41"/>
      <x:c r="E208" s="41"/>
      <x:c r="F208" s="41"/>
      <x:c r="G208" s="41"/>
      <x:c r="H208" s="41"/>
      <x:c r="I208" s="41"/>
      <x:c r="J208" s="41"/>
      <x:c r="K208" s="41"/>
      <x:c r="L208" s="41"/>
      <x:c r="M208" s="41"/>
      <x:c r="N208" s="41"/>
      <x:c r="O208" s="41"/>
      <x:c r="P208" s="41"/>
      <x:c r="Q208" s="41"/>
      <x:c r="R208" s="41"/>
      <x:c r="S208" s="41"/>
      <x:c r="T208" s="41"/>
      <x:c r="U208" s="41"/>
      <x:c r="V208" s="41"/>
      <x:c r="W208" s="41"/>
      <x:c r="X208" s="41"/>
      <x:c r="Y208" s="41"/>
      <x:c r="Z208" s="41"/>
    </x:row>
    <x:row r="209">
      <x:c r="A209" s="41"/>
      <x:c r="B209" s="41"/>
      <x:c r="C209" s="41"/>
      <x:c r="D209" s="41"/>
      <x:c r="E209" s="41"/>
      <x:c r="F209" s="41"/>
      <x:c r="G209" s="41"/>
      <x:c r="H209" s="41"/>
      <x:c r="I209" s="41"/>
      <x:c r="J209" s="41"/>
      <x:c r="K209" s="41"/>
      <x:c r="L209" s="41"/>
      <x:c r="M209" s="41"/>
      <x:c r="N209" s="41"/>
      <x:c r="O209" s="41"/>
      <x:c r="P209" s="41"/>
      <x:c r="Q209" s="41"/>
      <x:c r="R209" s="41"/>
      <x:c r="S209" s="41"/>
      <x:c r="T209" s="41"/>
      <x:c r="U209" s="41"/>
      <x:c r="V209" s="41"/>
      <x:c r="W209" s="41"/>
      <x:c r="X209" s="41"/>
      <x:c r="Y209" s="41"/>
      <x:c r="Z209" s="41"/>
    </x:row>
    <x:row r="210">
      <x:c r="A210" s="41"/>
      <x:c r="B210" s="41"/>
      <x:c r="C210" s="41"/>
      <x:c r="D210" s="41"/>
      <x:c r="E210" s="41"/>
      <x:c r="F210" s="41"/>
      <x:c r="G210" s="41"/>
      <x:c r="H210" s="41"/>
      <x:c r="I210" s="41"/>
      <x:c r="J210" s="41"/>
      <x:c r="K210" s="41"/>
      <x:c r="L210" s="41"/>
      <x:c r="M210" s="41"/>
      <x:c r="N210" s="41"/>
      <x:c r="O210" s="41"/>
      <x:c r="P210" s="41"/>
      <x:c r="Q210" s="41"/>
      <x:c r="R210" s="41"/>
      <x:c r="S210" s="41"/>
      <x:c r="T210" s="41"/>
      <x:c r="U210" s="41"/>
      <x:c r="V210" s="41"/>
      <x:c r="W210" s="41"/>
      <x:c r="X210" s="41"/>
      <x:c r="Y210" s="41"/>
      <x:c r="Z210" s="41"/>
    </x:row>
    <x:row r="211">
      <x:c r="A211" s="41"/>
      <x:c r="B211" s="41"/>
      <x:c r="C211" s="41"/>
      <x:c r="D211" s="41"/>
      <x:c r="E211" s="41"/>
      <x:c r="F211" s="41"/>
      <x:c r="G211" s="41"/>
      <x:c r="H211" s="41"/>
      <x:c r="I211" s="41"/>
      <x:c r="J211" s="41"/>
      <x:c r="K211" s="41"/>
      <x:c r="L211" s="41"/>
      <x:c r="M211" s="41"/>
      <x:c r="N211" s="41"/>
      <x:c r="O211" s="41"/>
      <x:c r="P211" s="41"/>
      <x:c r="Q211" s="41"/>
      <x:c r="R211" s="41"/>
      <x:c r="S211" s="41"/>
      <x:c r="T211" s="41"/>
      <x:c r="U211" s="41"/>
      <x:c r="V211" s="41"/>
      <x:c r="W211" s="41"/>
      <x:c r="X211" s="41"/>
      <x:c r="Y211" s="41"/>
      <x:c r="Z211" s="41"/>
    </x:row>
    <x:row r="212">
      <x:c r="A212" s="41"/>
      <x:c r="B212" s="41"/>
      <x:c r="C212" s="41"/>
      <x:c r="D212" s="41"/>
      <x:c r="E212" s="41"/>
      <x:c r="F212" s="41"/>
      <x:c r="G212" s="41"/>
      <x:c r="H212" s="41"/>
      <x:c r="I212" s="41"/>
      <x:c r="J212" s="41"/>
      <x:c r="K212" s="41"/>
      <x:c r="L212" s="41"/>
      <x:c r="M212" s="41"/>
      <x:c r="N212" s="41"/>
      <x:c r="O212" s="41"/>
      <x:c r="P212" s="41"/>
      <x:c r="Q212" s="41"/>
      <x:c r="R212" s="41"/>
      <x:c r="S212" s="41"/>
      <x:c r="T212" s="41"/>
      <x:c r="U212" s="41"/>
      <x:c r="V212" s="41"/>
      <x:c r="W212" s="41"/>
      <x:c r="X212" s="41"/>
      <x:c r="Y212" s="41"/>
      <x:c r="Z212" s="41"/>
    </x:row>
    <x:row r="213">
      <x:c r="A213" s="41"/>
      <x:c r="B213" s="41"/>
      <x:c r="C213" s="41"/>
      <x:c r="D213" s="41"/>
      <x:c r="E213" s="41"/>
      <x:c r="F213" s="41"/>
      <x:c r="G213" s="41"/>
      <x:c r="H213" s="41"/>
      <x:c r="I213" s="41"/>
      <x:c r="J213" s="41"/>
      <x:c r="K213" s="41"/>
      <x:c r="L213" s="41"/>
      <x:c r="M213" s="41"/>
      <x:c r="N213" s="41"/>
      <x:c r="O213" s="41"/>
      <x:c r="P213" s="41"/>
      <x:c r="Q213" s="41"/>
      <x:c r="R213" s="41"/>
      <x:c r="S213" s="41"/>
      <x:c r="T213" s="41"/>
      <x:c r="U213" s="41"/>
      <x:c r="V213" s="41"/>
      <x:c r="W213" s="41"/>
      <x:c r="X213" s="41"/>
      <x:c r="Y213" s="41"/>
      <x:c r="Z213" s="41"/>
    </x:row>
    <x:row r="214">
      <x:c r="A214" s="41"/>
      <x:c r="B214" s="41"/>
      <x:c r="C214" s="41"/>
      <x:c r="D214" s="41"/>
      <x:c r="E214" s="41"/>
      <x:c r="F214" s="41"/>
      <x:c r="G214" s="41"/>
      <x:c r="H214" s="41"/>
      <x:c r="I214" s="41"/>
      <x:c r="J214" s="41"/>
      <x:c r="K214" s="41"/>
      <x:c r="L214" s="41"/>
      <x:c r="M214" s="41"/>
      <x:c r="N214" s="41"/>
      <x:c r="O214" s="41"/>
      <x:c r="P214" s="41"/>
      <x:c r="Q214" s="41"/>
      <x:c r="R214" s="41"/>
      <x:c r="S214" s="41"/>
      <x:c r="T214" s="41"/>
      <x:c r="U214" s="41"/>
      <x:c r="V214" s="41"/>
      <x:c r="W214" s="41"/>
      <x:c r="X214" s="41"/>
      <x:c r="Y214" s="41"/>
      <x:c r="Z214" s="41"/>
    </x:row>
    <x:row r="215">
      <x:c r="A215" s="41"/>
      <x:c r="B215" s="41"/>
      <x:c r="C215" s="41"/>
      <x:c r="D215" s="41"/>
      <x:c r="E215" s="41"/>
      <x:c r="F215" s="41"/>
      <x:c r="G215" s="41"/>
      <x:c r="H215" s="41"/>
      <x:c r="I215" s="41"/>
      <x:c r="J215" s="41"/>
      <x:c r="K215" s="41"/>
      <x:c r="L215" s="41"/>
      <x:c r="M215" s="41"/>
      <x:c r="N215" s="41"/>
      <x:c r="O215" s="41"/>
      <x:c r="P215" s="41"/>
      <x:c r="Q215" s="41"/>
      <x:c r="R215" s="41"/>
      <x:c r="S215" s="41"/>
      <x:c r="T215" s="41"/>
      <x:c r="U215" s="41"/>
      <x:c r="V215" s="41"/>
      <x:c r="W215" s="41"/>
      <x:c r="X215" s="41"/>
      <x:c r="Y215" s="41"/>
      <x:c r="Z215" s="41"/>
    </x:row>
    <x:row r="216">
      <x:c r="A216" s="41"/>
      <x:c r="B216" s="41"/>
      <x:c r="C216" s="41"/>
      <x:c r="D216" s="41"/>
      <x:c r="E216" s="41"/>
      <x:c r="F216" s="41"/>
      <x:c r="G216" s="41"/>
      <x:c r="H216" s="41"/>
      <x:c r="I216" s="41"/>
      <x:c r="J216" s="41"/>
      <x:c r="K216" s="41"/>
      <x:c r="L216" s="41"/>
      <x:c r="M216" s="41"/>
      <x:c r="N216" s="41"/>
      <x:c r="O216" s="41"/>
      <x:c r="P216" s="41"/>
      <x:c r="Q216" s="41"/>
      <x:c r="R216" s="41"/>
      <x:c r="S216" s="41"/>
      <x:c r="T216" s="41"/>
      <x:c r="U216" s="41"/>
      <x:c r="V216" s="41"/>
      <x:c r="W216" s="41"/>
      <x:c r="X216" s="41"/>
      <x:c r="Y216" s="41"/>
      <x:c r="Z216" s="41"/>
    </x:row>
    <x:row r="217">
      <x:c r="A217" s="41"/>
      <x:c r="B217" s="41"/>
      <x:c r="C217" s="41"/>
      <x:c r="D217" s="41"/>
      <x:c r="E217" s="41"/>
      <x:c r="F217" s="41"/>
      <x:c r="G217" s="41"/>
      <x:c r="H217" s="41"/>
      <x:c r="I217" s="41"/>
      <x:c r="J217" s="41"/>
      <x:c r="K217" s="41"/>
      <x:c r="L217" s="41"/>
      <x:c r="M217" s="41"/>
      <x:c r="N217" s="41"/>
      <x:c r="O217" s="41"/>
      <x:c r="P217" s="41"/>
      <x:c r="Q217" s="41"/>
      <x:c r="R217" s="41"/>
      <x:c r="S217" s="41"/>
      <x:c r="T217" s="41"/>
      <x:c r="U217" s="41"/>
      <x:c r="V217" s="41"/>
      <x:c r="W217" s="41"/>
      <x:c r="X217" s="41"/>
      <x:c r="Y217" s="41"/>
      <x:c r="Z217" s="41"/>
    </x:row>
    <x:row r="218">
      <x:c r="A218" s="41"/>
      <x:c r="B218" s="41"/>
      <x:c r="C218" s="41"/>
      <x:c r="D218" s="41"/>
      <x:c r="E218" s="41"/>
      <x:c r="F218" s="41"/>
      <x:c r="G218" s="41"/>
      <x:c r="H218" s="41"/>
      <x:c r="I218" s="41"/>
      <x:c r="J218" s="41"/>
      <x:c r="K218" s="41"/>
      <x:c r="L218" s="41"/>
      <x:c r="M218" s="41"/>
      <x:c r="N218" s="41"/>
      <x:c r="O218" s="41"/>
      <x:c r="P218" s="41"/>
      <x:c r="Q218" s="41"/>
      <x:c r="R218" s="41"/>
      <x:c r="S218" s="41"/>
      <x:c r="T218" s="41"/>
      <x:c r="U218" s="41"/>
      <x:c r="V218" s="41"/>
      <x:c r="W218" s="41"/>
      <x:c r="X218" s="41"/>
      <x:c r="Y218" s="41"/>
      <x:c r="Z218" s="41"/>
    </x:row>
    <x:row r="219">
      <x:c r="A219" s="41"/>
      <x:c r="B219" s="41"/>
      <x:c r="C219" s="41"/>
      <x:c r="D219" s="41"/>
      <x:c r="E219" s="41"/>
      <x:c r="F219" s="41"/>
      <x:c r="G219" s="41"/>
      <x:c r="H219" s="41"/>
      <x:c r="I219" s="41"/>
      <x:c r="J219" s="41"/>
      <x:c r="K219" s="41"/>
      <x:c r="L219" s="41"/>
      <x:c r="M219" s="41"/>
      <x:c r="N219" s="41"/>
      <x:c r="O219" s="41"/>
      <x:c r="P219" s="41"/>
      <x:c r="Q219" s="41"/>
      <x:c r="R219" s="41"/>
      <x:c r="S219" s="41"/>
      <x:c r="T219" s="41"/>
      <x:c r="U219" s="41"/>
      <x:c r="V219" s="41"/>
      <x:c r="W219" s="41"/>
      <x:c r="X219" s="41"/>
      <x:c r="Y219" s="41"/>
      <x:c r="Z219" s="41"/>
    </x:row>
    <x:row r="220">
      <x:c r="A220" s="41"/>
      <x:c r="B220" s="41"/>
      <x:c r="C220" s="41"/>
      <x:c r="D220" s="41"/>
      <x:c r="E220" s="41"/>
      <x:c r="F220" s="41"/>
      <x:c r="G220" s="41"/>
      <x:c r="H220" s="41"/>
      <x:c r="I220" s="41"/>
      <x:c r="J220" s="41"/>
      <x:c r="K220" s="41"/>
      <x:c r="L220" s="41"/>
      <x:c r="M220" s="41"/>
      <x:c r="N220" s="41"/>
      <x:c r="O220" s="41"/>
      <x:c r="P220" s="41"/>
      <x:c r="Q220" s="41"/>
      <x:c r="R220" s="41"/>
      <x:c r="S220" s="41"/>
      <x:c r="T220" s="41"/>
      <x:c r="U220" s="41"/>
      <x:c r="V220" s="41"/>
      <x:c r="W220" s="41"/>
      <x:c r="X220" s="41"/>
      <x:c r="Y220" s="41"/>
      <x:c r="Z220" s="41"/>
    </x:row>
    <x:row r="221">
      <x:c r="A221" s="41"/>
      <x:c r="B221" s="41"/>
      <x:c r="C221" s="41"/>
      <x:c r="D221" s="41"/>
      <x:c r="E221" s="41"/>
      <x:c r="F221" s="41"/>
      <x:c r="G221" s="41"/>
      <x:c r="H221" s="41"/>
      <x:c r="I221" s="41"/>
      <x:c r="J221" s="41"/>
      <x:c r="K221" s="41"/>
      <x:c r="L221" s="41"/>
      <x:c r="M221" s="41"/>
      <x:c r="N221" s="41"/>
      <x:c r="O221" s="41"/>
      <x:c r="P221" s="41"/>
      <x:c r="Q221" s="41"/>
      <x:c r="R221" s="41"/>
      <x:c r="S221" s="41"/>
      <x:c r="T221" s="41"/>
      <x:c r="U221" s="41"/>
      <x:c r="V221" s="41"/>
      <x:c r="W221" s="41"/>
      <x:c r="X221" s="41"/>
      <x:c r="Y221" s="41"/>
      <x:c r="Z221" s="41"/>
    </x:row>
    <x:row r="222">
      <x:c r="A222" s="41"/>
      <x:c r="B222" s="41"/>
      <x:c r="C222" s="41"/>
      <x:c r="D222" s="41"/>
      <x:c r="E222" s="41"/>
      <x:c r="F222" s="41"/>
      <x:c r="G222" s="41"/>
      <x:c r="H222" s="41"/>
      <x:c r="I222" s="41"/>
      <x:c r="J222" s="41"/>
      <x:c r="K222" s="41"/>
      <x:c r="L222" s="41"/>
      <x:c r="M222" s="41"/>
      <x:c r="N222" s="41"/>
      <x:c r="O222" s="41"/>
      <x:c r="P222" s="41"/>
      <x:c r="Q222" s="41"/>
      <x:c r="R222" s="41"/>
      <x:c r="S222" s="41"/>
      <x:c r="T222" s="41"/>
      <x:c r="U222" s="41"/>
      <x:c r="V222" s="41"/>
      <x:c r="W222" s="41"/>
      <x:c r="X222" s="41"/>
      <x:c r="Y222" s="41"/>
      <x:c r="Z222" s="41"/>
    </x:row>
    <x:row r="223">
      <x:c r="A223" s="41"/>
      <x:c r="B223" s="41"/>
      <x:c r="C223" s="41"/>
      <x:c r="D223" s="41"/>
      <x:c r="E223" s="41"/>
      <x:c r="F223" s="41"/>
      <x:c r="G223" s="41"/>
      <x:c r="H223" s="41"/>
      <x:c r="I223" s="41"/>
      <x:c r="J223" s="41"/>
      <x:c r="K223" s="41"/>
      <x:c r="L223" s="41"/>
      <x:c r="M223" s="41"/>
      <x:c r="N223" s="41"/>
      <x:c r="O223" s="41"/>
      <x:c r="P223" s="41"/>
      <x:c r="Q223" s="41"/>
      <x:c r="R223" s="41"/>
      <x:c r="S223" s="41"/>
      <x:c r="T223" s="41"/>
      <x:c r="U223" s="41"/>
      <x:c r="V223" s="41"/>
      <x:c r="W223" s="41"/>
      <x:c r="X223" s="41"/>
      <x:c r="Y223" s="41"/>
      <x:c r="Z223" s="41"/>
    </x:row>
    <x:row r="224">
      <x:c r="A224" s="41"/>
      <x:c r="B224" s="41"/>
      <x:c r="C224" s="41"/>
      <x:c r="D224" s="41"/>
      <x:c r="E224" s="41"/>
      <x:c r="F224" s="41"/>
      <x:c r="G224" s="41"/>
      <x:c r="H224" s="41"/>
      <x:c r="I224" s="41"/>
      <x:c r="J224" s="41"/>
      <x:c r="K224" s="41"/>
      <x:c r="L224" s="41"/>
      <x:c r="M224" s="41"/>
      <x:c r="N224" s="41"/>
      <x:c r="O224" s="41"/>
      <x:c r="P224" s="41"/>
      <x:c r="Q224" s="41"/>
      <x:c r="R224" s="41"/>
      <x:c r="S224" s="41"/>
      <x:c r="T224" s="41"/>
      <x:c r="U224" s="41"/>
      <x:c r="V224" s="41"/>
      <x:c r="W224" s="41"/>
      <x:c r="X224" s="41"/>
      <x:c r="Y224" s="41"/>
      <x:c r="Z224" s="41"/>
    </x:row>
    <x:row r="225">
      <x:c r="A225" s="41"/>
      <x:c r="B225" s="41"/>
      <x:c r="C225" s="41"/>
      <x:c r="D225" s="41"/>
      <x:c r="E225" s="41"/>
      <x:c r="F225" s="41"/>
      <x:c r="G225" s="41"/>
      <x:c r="H225" s="41"/>
      <x:c r="I225" s="41"/>
      <x:c r="J225" s="41"/>
      <x:c r="K225" s="41"/>
      <x:c r="L225" s="41"/>
      <x:c r="M225" s="41"/>
      <x:c r="N225" s="41"/>
      <x:c r="O225" s="41"/>
      <x:c r="P225" s="41"/>
      <x:c r="Q225" s="41"/>
      <x:c r="R225" s="41"/>
      <x:c r="S225" s="41"/>
      <x:c r="T225" s="41"/>
      <x:c r="U225" s="41"/>
      <x:c r="V225" s="41"/>
      <x:c r="W225" s="41"/>
      <x:c r="X225" s="41"/>
      <x:c r="Y225" s="41"/>
      <x:c r="Z225" s="41"/>
    </x:row>
    <x:row r="226">
      <x:c r="A226" s="41"/>
      <x:c r="B226" s="41"/>
      <x:c r="C226" s="41"/>
      <x:c r="D226" s="41"/>
      <x:c r="E226" s="41"/>
      <x:c r="F226" s="41"/>
      <x:c r="G226" s="41"/>
      <x:c r="H226" s="41"/>
      <x:c r="I226" s="41"/>
      <x:c r="J226" s="41"/>
      <x:c r="K226" s="41"/>
      <x:c r="L226" s="41"/>
      <x:c r="M226" s="41"/>
      <x:c r="N226" s="41"/>
      <x:c r="O226" s="41"/>
      <x:c r="P226" s="41"/>
      <x:c r="Q226" s="41"/>
      <x:c r="R226" s="41"/>
      <x:c r="S226" s="41"/>
      <x:c r="T226" s="41"/>
      <x:c r="U226" s="41"/>
      <x:c r="V226" s="41"/>
      <x:c r="W226" s="41"/>
      <x:c r="X226" s="41"/>
      <x:c r="Y226" s="41"/>
      <x:c r="Z226" s="41"/>
    </x:row>
    <x:row r="227">
      <x:c r="A227" s="41"/>
      <x:c r="B227" s="41"/>
      <x:c r="C227" s="41"/>
      <x:c r="D227" s="41"/>
      <x:c r="E227" s="41"/>
      <x:c r="F227" s="41"/>
      <x:c r="G227" s="41"/>
      <x:c r="H227" s="41"/>
      <x:c r="I227" s="41"/>
      <x:c r="J227" s="41"/>
      <x:c r="K227" s="41"/>
      <x:c r="L227" s="41"/>
      <x:c r="M227" s="41"/>
      <x:c r="N227" s="41"/>
      <x:c r="O227" s="41"/>
      <x:c r="P227" s="41"/>
      <x:c r="Q227" s="41"/>
      <x:c r="R227" s="41"/>
      <x:c r="S227" s="41"/>
      <x:c r="T227" s="41"/>
      <x:c r="U227" s="41"/>
      <x:c r="V227" s="41"/>
      <x:c r="W227" s="41"/>
      <x:c r="X227" s="41"/>
      <x:c r="Y227" s="41"/>
      <x:c r="Z227" s="41"/>
    </x:row>
    <x:row r="228">
      <x:c r="A228" s="41"/>
      <x:c r="B228" s="41"/>
      <x:c r="C228" s="41"/>
      <x:c r="D228" s="41"/>
      <x:c r="E228" s="41"/>
      <x:c r="F228" s="41"/>
      <x:c r="G228" s="41"/>
      <x:c r="H228" s="41"/>
      <x:c r="I228" s="41"/>
      <x:c r="J228" s="41"/>
      <x:c r="K228" s="41"/>
      <x:c r="L228" s="41"/>
      <x:c r="M228" s="41"/>
      <x:c r="N228" s="41"/>
      <x:c r="O228" s="41"/>
      <x:c r="P228" s="41"/>
      <x:c r="Q228" s="41"/>
      <x:c r="R228" s="41"/>
      <x:c r="S228" s="41"/>
      <x:c r="T228" s="41"/>
      <x:c r="U228" s="41"/>
      <x:c r="V228" s="41"/>
      <x:c r="W228" s="41"/>
      <x:c r="X228" s="41"/>
      <x:c r="Y228" s="41"/>
      <x:c r="Z228" s="41"/>
    </x:row>
    <x:row r="229">
      <x:c r="A229" s="41"/>
      <x:c r="B229" s="41"/>
      <x:c r="C229" s="41"/>
      <x:c r="D229" s="41"/>
      <x:c r="E229" s="41"/>
      <x:c r="F229" s="41"/>
      <x:c r="G229" s="41"/>
      <x:c r="H229" s="41"/>
      <x:c r="I229" s="41"/>
      <x:c r="J229" s="41"/>
      <x:c r="K229" s="41"/>
      <x:c r="L229" s="41"/>
      <x:c r="M229" s="41"/>
      <x:c r="N229" s="41"/>
      <x:c r="O229" s="41"/>
      <x:c r="P229" s="41"/>
      <x:c r="Q229" s="41"/>
      <x:c r="R229" s="41"/>
      <x:c r="S229" s="41"/>
      <x:c r="T229" s="41"/>
      <x:c r="U229" s="41"/>
      <x:c r="V229" s="41"/>
      <x:c r="W229" s="41"/>
      <x:c r="X229" s="41"/>
      <x:c r="Y229" s="41"/>
      <x:c r="Z229" s="41"/>
    </x:row>
    <x:row r="230">
      <x:c r="A230" s="41"/>
      <x:c r="B230" s="41"/>
      <x:c r="C230" s="41"/>
      <x:c r="D230" s="41"/>
      <x:c r="E230" s="41"/>
      <x:c r="F230" s="41"/>
      <x:c r="G230" s="41"/>
      <x:c r="H230" s="41"/>
      <x:c r="I230" s="41"/>
      <x:c r="J230" s="41"/>
      <x:c r="K230" s="41"/>
      <x:c r="L230" s="41"/>
      <x:c r="M230" s="41"/>
      <x:c r="N230" s="41"/>
      <x:c r="O230" s="41"/>
      <x:c r="P230" s="41"/>
      <x:c r="Q230" s="41"/>
      <x:c r="R230" s="41"/>
      <x:c r="S230" s="41"/>
      <x:c r="T230" s="41"/>
      <x:c r="U230" s="41"/>
      <x:c r="V230" s="41"/>
      <x:c r="W230" s="41"/>
      <x:c r="X230" s="41"/>
      <x:c r="Y230" s="41"/>
      <x:c r="Z230" s="41"/>
    </x:row>
    <x:row r="231">
      <x:c r="A231" s="41"/>
      <x:c r="B231" s="41"/>
      <x:c r="C231" s="41"/>
      <x:c r="D231" s="41"/>
      <x:c r="E231" s="41"/>
      <x:c r="F231" s="41"/>
      <x:c r="G231" s="41"/>
      <x:c r="H231" s="41"/>
      <x:c r="I231" s="41"/>
      <x:c r="J231" s="41"/>
      <x:c r="K231" s="41"/>
      <x:c r="L231" s="41"/>
      <x:c r="M231" s="41"/>
      <x:c r="N231" s="41"/>
      <x:c r="O231" s="41"/>
      <x:c r="P231" s="41"/>
      <x:c r="Q231" s="41"/>
      <x:c r="R231" s="41"/>
      <x:c r="S231" s="41"/>
      <x:c r="T231" s="41"/>
      <x:c r="U231" s="41"/>
      <x:c r="V231" s="41"/>
      <x:c r="W231" s="41"/>
      <x:c r="X231" s="41"/>
      <x:c r="Y231" s="41"/>
      <x:c r="Z231" s="41"/>
    </x:row>
    <x:row r="232">
      <x:c r="A232" s="41"/>
      <x:c r="B232" s="41"/>
      <x:c r="C232" s="41"/>
      <x:c r="D232" s="41"/>
      <x:c r="E232" s="41"/>
      <x:c r="F232" s="41"/>
      <x:c r="G232" s="41"/>
      <x:c r="H232" s="41"/>
      <x:c r="I232" s="41"/>
      <x:c r="J232" s="41"/>
      <x:c r="K232" s="41"/>
      <x:c r="L232" s="41"/>
      <x:c r="M232" s="41"/>
      <x:c r="N232" s="41"/>
      <x:c r="O232" s="41"/>
      <x:c r="P232" s="41"/>
      <x:c r="Q232" s="41"/>
      <x:c r="R232" s="41"/>
      <x:c r="S232" s="41"/>
      <x:c r="T232" s="41"/>
      <x:c r="U232" s="41"/>
      <x:c r="V232" s="41"/>
      <x:c r="W232" s="41"/>
      <x:c r="X232" s="41"/>
      <x:c r="Y232" s="41"/>
      <x:c r="Z232" s="41"/>
    </x:row>
    <x:row r="233">
      <x:c r="A233" s="41"/>
      <x:c r="B233" s="41"/>
      <x:c r="C233" s="41"/>
      <x:c r="D233" s="41"/>
      <x:c r="E233" s="41"/>
      <x:c r="F233" s="41"/>
      <x:c r="G233" s="41"/>
      <x:c r="H233" s="41"/>
      <x:c r="I233" s="41"/>
      <x:c r="J233" s="41"/>
      <x:c r="K233" s="41"/>
      <x:c r="L233" s="41"/>
      <x:c r="M233" s="41"/>
      <x:c r="N233" s="41"/>
      <x:c r="O233" s="41"/>
      <x:c r="P233" s="41"/>
      <x:c r="Q233" s="41"/>
      <x:c r="R233" s="41"/>
      <x:c r="S233" s="41"/>
      <x:c r="T233" s="41"/>
      <x:c r="U233" s="41"/>
      <x:c r="V233" s="41"/>
      <x:c r="W233" s="41"/>
      <x:c r="X233" s="41"/>
      <x:c r="Y233" s="41"/>
      <x:c r="Z233" s="41"/>
    </x:row>
    <x:row r="234">
      <x:c r="A234" s="41"/>
      <x:c r="B234" s="41"/>
      <x:c r="C234" s="41"/>
      <x:c r="D234" s="41"/>
      <x:c r="E234" s="41"/>
      <x:c r="F234" s="41"/>
      <x:c r="G234" s="41"/>
      <x:c r="H234" s="41"/>
      <x:c r="I234" s="41"/>
      <x:c r="J234" s="41"/>
      <x:c r="K234" s="41"/>
      <x:c r="L234" s="41"/>
      <x:c r="M234" s="41"/>
      <x:c r="N234" s="41"/>
      <x:c r="O234" s="41"/>
      <x:c r="P234" s="41"/>
      <x:c r="Q234" s="41"/>
      <x:c r="R234" s="41"/>
      <x:c r="S234" s="41"/>
      <x:c r="T234" s="41"/>
      <x:c r="U234" s="41"/>
      <x:c r="V234" s="41"/>
      <x:c r="W234" s="41"/>
      <x:c r="X234" s="41"/>
      <x:c r="Y234" s="41"/>
      <x:c r="Z234" s="41"/>
    </x:row>
    <x:row r="235">
      <x:c r="A235" s="41"/>
      <x:c r="B235" s="41"/>
      <x:c r="C235" s="41"/>
      <x:c r="D235" s="41"/>
      <x:c r="E235" s="41"/>
      <x:c r="F235" s="41"/>
      <x:c r="G235" s="41"/>
      <x:c r="H235" s="41"/>
      <x:c r="I235" s="41"/>
      <x:c r="J235" s="41"/>
      <x:c r="K235" s="41"/>
      <x:c r="L235" s="41"/>
      <x:c r="M235" s="41"/>
      <x:c r="N235" s="41"/>
      <x:c r="O235" s="41"/>
      <x:c r="P235" s="41"/>
      <x:c r="Q235" s="41"/>
      <x:c r="R235" s="41"/>
      <x:c r="S235" s="41"/>
      <x:c r="T235" s="41"/>
      <x:c r="U235" s="41"/>
      <x:c r="V235" s="41"/>
      <x:c r="W235" s="41"/>
      <x:c r="X235" s="41"/>
      <x:c r="Y235" s="41"/>
      <x:c r="Z235" s="41"/>
    </x:row>
    <x:row r="236">
      <x:c r="A236" s="41"/>
      <x:c r="B236" s="41"/>
      <x:c r="C236" s="41"/>
      <x:c r="D236" s="41"/>
      <x:c r="E236" s="41"/>
      <x:c r="F236" s="41"/>
      <x:c r="G236" s="41"/>
      <x:c r="H236" s="41"/>
      <x:c r="I236" s="41"/>
      <x:c r="J236" s="41"/>
      <x:c r="K236" s="41"/>
      <x:c r="L236" s="41"/>
      <x:c r="M236" s="41"/>
      <x:c r="N236" s="41"/>
      <x:c r="O236" s="41"/>
      <x:c r="P236" s="41"/>
      <x:c r="Q236" s="41"/>
      <x:c r="R236" s="41"/>
      <x:c r="S236" s="41"/>
      <x:c r="T236" s="41"/>
      <x:c r="U236" s="41"/>
      <x:c r="V236" s="41"/>
      <x:c r="W236" s="41"/>
      <x:c r="X236" s="41"/>
      <x:c r="Y236" s="41"/>
      <x:c r="Z236" s="41"/>
    </x:row>
    <x:row r="237">
      <x:c r="A237" s="41"/>
      <x:c r="B237" s="41"/>
      <x:c r="C237" s="41"/>
      <x:c r="D237" s="41"/>
      <x:c r="E237" s="41"/>
      <x:c r="F237" s="41"/>
      <x:c r="G237" s="41"/>
      <x:c r="H237" s="41"/>
      <x:c r="I237" s="41"/>
      <x:c r="J237" s="41"/>
      <x:c r="K237" s="41"/>
      <x:c r="L237" s="41"/>
      <x:c r="M237" s="41"/>
      <x:c r="N237" s="41"/>
      <x:c r="O237" s="41"/>
      <x:c r="P237" s="41"/>
      <x:c r="Q237" s="41"/>
      <x:c r="R237" s="41"/>
      <x:c r="S237" s="41"/>
      <x:c r="T237" s="41"/>
      <x:c r="U237" s="41"/>
      <x:c r="V237" s="41"/>
      <x:c r="W237" s="41"/>
      <x:c r="X237" s="41"/>
      <x:c r="Y237" s="41"/>
      <x:c r="Z237" s="41"/>
    </x:row>
    <x:row r="238">
      <x:c r="A238" s="41"/>
      <x:c r="B238" s="41"/>
      <x:c r="C238" s="41"/>
      <x:c r="D238" s="41"/>
      <x:c r="E238" s="41"/>
      <x:c r="F238" s="41"/>
      <x:c r="G238" s="41"/>
      <x:c r="H238" s="41"/>
      <x:c r="I238" s="41"/>
      <x:c r="J238" s="41"/>
      <x:c r="K238" s="41"/>
      <x:c r="L238" s="41"/>
      <x:c r="M238" s="41"/>
      <x:c r="N238" s="41"/>
      <x:c r="O238" s="41"/>
      <x:c r="P238" s="41"/>
      <x:c r="Q238" s="41"/>
      <x:c r="R238" s="41"/>
      <x:c r="S238" s="41"/>
      <x:c r="T238" s="41"/>
      <x:c r="U238" s="41"/>
      <x:c r="V238" s="41"/>
      <x:c r="W238" s="41"/>
      <x:c r="X238" s="41"/>
      <x:c r="Y238" s="41"/>
      <x:c r="Z238" s="41"/>
    </x:row>
    <x:row r="239">
      <x:c r="A239" s="41"/>
      <x:c r="B239" s="41"/>
      <x:c r="C239" s="41"/>
      <x:c r="D239" s="41"/>
      <x:c r="E239" s="41"/>
      <x:c r="F239" s="41"/>
      <x:c r="G239" s="41"/>
      <x:c r="H239" s="41"/>
      <x:c r="I239" s="41"/>
      <x:c r="J239" s="41"/>
      <x:c r="K239" s="41"/>
      <x:c r="L239" s="41"/>
      <x:c r="M239" s="41"/>
      <x:c r="N239" s="41"/>
      <x:c r="O239" s="41"/>
      <x:c r="P239" s="41"/>
      <x:c r="Q239" s="41"/>
      <x:c r="R239" s="41"/>
      <x:c r="S239" s="41"/>
      <x:c r="T239" s="41"/>
      <x:c r="U239" s="41"/>
      <x:c r="V239" s="41"/>
      <x:c r="W239" s="41"/>
      <x:c r="X239" s="41"/>
      <x:c r="Y239" s="41"/>
      <x:c r="Z239" s="41"/>
    </x:row>
    <x:row r="240">
      <x:c r="A240" s="41"/>
      <x:c r="B240" s="41"/>
      <x:c r="C240" s="41"/>
      <x:c r="D240" s="41"/>
      <x:c r="E240" s="41"/>
      <x:c r="F240" s="41"/>
      <x:c r="G240" s="41"/>
      <x:c r="H240" s="41"/>
      <x:c r="I240" s="41"/>
      <x:c r="J240" s="41"/>
      <x:c r="K240" s="41"/>
      <x:c r="L240" s="41"/>
      <x:c r="M240" s="41"/>
      <x:c r="N240" s="41"/>
      <x:c r="O240" s="41"/>
      <x:c r="P240" s="41"/>
      <x:c r="Q240" s="41"/>
      <x:c r="R240" s="41"/>
      <x:c r="S240" s="41"/>
      <x:c r="T240" s="41"/>
      <x:c r="U240" s="41"/>
      <x:c r="V240" s="41"/>
      <x:c r="W240" s="41"/>
      <x:c r="X240" s="41"/>
      <x:c r="Y240" s="41"/>
      <x:c r="Z240" s="41"/>
    </x:row>
    <x:row r="241">
      <x:c r="A241" s="41"/>
      <x:c r="B241" s="41"/>
      <x:c r="C241" s="41"/>
      <x:c r="D241" s="41"/>
      <x:c r="E241" s="41"/>
      <x:c r="F241" s="41"/>
      <x:c r="G241" s="41"/>
      <x:c r="H241" s="41"/>
      <x:c r="I241" s="41"/>
      <x:c r="J241" s="41"/>
      <x:c r="K241" s="41"/>
      <x:c r="L241" s="41"/>
      <x:c r="M241" s="41"/>
      <x:c r="N241" s="41"/>
      <x:c r="O241" s="41"/>
      <x:c r="P241" s="41"/>
      <x:c r="Q241" s="41"/>
      <x:c r="R241" s="41"/>
      <x:c r="S241" s="41"/>
      <x:c r="T241" s="41"/>
      <x:c r="U241" s="41"/>
      <x:c r="V241" s="41"/>
      <x:c r="W241" s="41"/>
      <x:c r="X241" s="41"/>
      <x:c r="Y241" s="41"/>
      <x:c r="Z241" s="41"/>
    </x:row>
    <x:row r="242">
      <x:c r="A242" s="41"/>
      <x:c r="B242" s="41"/>
      <x:c r="C242" s="41"/>
      <x:c r="D242" s="41"/>
      <x:c r="E242" s="41"/>
      <x:c r="F242" s="41"/>
      <x:c r="G242" s="41"/>
      <x:c r="H242" s="41"/>
      <x:c r="I242" s="41"/>
      <x:c r="J242" s="41"/>
      <x:c r="K242" s="41"/>
      <x:c r="L242" s="41"/>
      <x:c r="M242" s="41"/>
      <x:c r="N242" s="41"/>
      <x:c r="O242" s="41"/>
      <x:c r="P242" s="41"/>
      <x:c r="Q242" s="41"/>
      <x:c r="R242" s="41"/>
      <x:c r="S242" s="41"/>
      <x:c r="T242" s="41"/>
      <x:c r="U242" s="41"/>
      <x:c r="V242" s="41"/>
      <x:c r="W242" s="41"/>
      <x:c r="X242" s="41"/>
      <x:c r="Y242" s="41"/>
      <x:c r="Z242" s="41"/>
    </x:row>
    <x:row r="243">
      <x:c r="A243" s="41"/>
      <x:c r="B243" s="41"/>
      <x:c r="C243" s="41"/>
      <x:c r="D243" s="41"/>
      <x:c r="E243" s="41"/>
      <x:c r="F243" s="41"/>
      <x:c r="G243" s="41"/>
      <x:c r="H243" s="41"/>
      <x:c r="I243" s="41"/>
      <x:c r="J243" s="41"/>
      <x:c r="K243" s="41"/>
      <x:c r="L243" s="41"/>
      <x:c r="M243" s="41"/>
      <x:c r="N243" s="41"/>
      <x:c r="O243" s="41"/>
      <x:c r="P243" s="41"/>
      <x:c r="Q243" s="41"/>
      <x:c r="R243" s="41"/>
      <x:c r="S243" s="41"/>
      <x:c r="T243" s="41"/>
      <x:c r="U243" s="41"/>
      <x:c r="V243" s="41"/>
      <x:c r="W243" s="41"/>
      <x:c r="X243" s="41"/>
      <x:c r="Y243" s="41"/>
      <x:c r="Z243" s="41"/>
    </x:row>
    <x:row r="244">
      <x:c r="A244" s="41"/>
      <x:c r="B244" s="41"/>
      <x:c r="C244" s="41"/>
      <x:c r="D244" s="41"/>
      <x:c r="E244" s="41"/>
      <x:c r="F244" s="41"/>
      <x:c r="G244" s="41"/>
      <x:c r="H244" s="41"/>
      <x:c r="I244" s="41"/>
      <x:c r="J244" s="41"/>
      <x:c r="K244" s="41"/>
      <x:c r="L244" s="41"/>
      <x:c r="M244" s="41"/>
      <x:c r="N244" s="41"/>
      <x:c r="O244" s="41"/>
      <x:c r="P244" s="41"/>
      <x:c r="Q244" s="41"/>
      <x:c r="R244" s="41"/>
      <x:c r="S244" s="41"/>
      <x:c r="T244" s="41"/>
      <x:c r="U244" s="41"/>
      <x:c r="V244" s="41"/>
      <x:c r="W244" s="41"/>
      <x:c r="X244" s="41"/>
      <x:c r="Y244" s="41"/>
      <x:c r="Z244" s="41"/>
    </x:row>
    <x:row r="245">
      <x:c r="A245" s="41"/>
      <x:c r="B245" s="41"/>
      <x:c r="C245" s="41"/>
      <x:c r="D245" s="41"/>
      <x:c r="E245" s="41"/>
      <x:c r="F245" s="41"/>
      <x:c r="G245" s="41"/>
      <x:c r="H245" s="41"/>
      <x:c r="I245" s="41"/>
      <x:c r="J245" s="41"/>
      <x:c r="K245" s="41"/>
      <x:c r="L245" s="41"/>
      <x:c r="M245" s="41"/>
      <x:c r="N245" s="41"/>
      <x:c r="O245" s="41"/>
      <x:c r="P245" s="41"/>
      <x:c r="Q245" s="41"/>
      <x:c r="R245" s="41"/>
      <x:c r="S245" s="41"/>
      <x:c r="T245" s="41"/>
      <x:c r="U245" s="41"/>
      <x:c r="V245" s="41"/>
      <x:c r="W245" s="41"/>
      <x:c r="X245" s="41"/>
      <x:c r="Y245" s="41"/>
      <x:c r="Z245" s="41"/>
    </x:row>
    <x:row r="246">
      <x:c r="A246" s="41"/>
      <x:c r="B246" s="41"/>
      <x:c r="C246" s="41"/>
      <x:c r="D246" s="41"/>
      <x:c r="E246" s="41"/>
      <x:c r="F246" s="41"/>
      <x:c r="G246" s="41"/>
      <x:c r="H246" s="41"/>
      <x:c r="I246" s="41"/>
      <x:c r="J246" s="41"/>
      <x:c r="K246" s="41"/>
      <x:c r="L246" s="41"/>
      <x:c r="M246" s="41"/>
      <x:c r="N246" s="41"/>
      <x:c r="O246" s="41"/>
      <x:c r="P246" s="41"/>
      <x:c r="Q246" s="41"/>
      <x:c r="R246" s="41"/>
      <x:c r="S246" s="41"/>
      <x:c r="T246" s="41"/>
      <x:c r="U246" s="41"/>
      <x:c r="V246" s="41"/>
      <x:c r="W246" s="41"/>
      <x:c r="X246" s="41"/>
      <x:c r="Y246" s="41"/>
      <x:c r="Z246" s="41"/>
    </x:row>
    <x:row r="247">
      <x:c r="A247" s="41"/>
      <x:c r="B247" s="41"/>
      <x:c r="C247" s="41"/>
      <x:c r="D247" s="41"/>
      <x:c r="E247" s="41"/>
      <x:c r="F247" s="41"/>
      <x:c r="G247" s="41"/>
      <x:c r="H247" s="41"/>
      <x:c r="I247" s="41"/>
      <x:c r="J247" s="41"/>
      <x:c r="K247" s="41"/>
      <x:c r="L247" s="41"/>
      <x:c r="M247" s="41"/>
      <x:c r="N247" s="41"/>
      <x:c r="O247" s="41"/>
      <x:c r="P247" s="41"/>
      <x:c r="Q247" s="41"/>
      <x:c r="R247" s="41"/>
      <x:c r="S247" s="41"/>
      <x:c r="T247" s="41"/>
      <x:c r="U247" s="41"/>
      <x:c r="V247" s="41"/>
      <x:c r="W247" s="41"/>
      <x:c r="X247" s="41"/>
      <x:c r="Y247" s="41"/>
      <x:c r="Z247" s="41"/>
    </x:row>
    <x:row r="248">
      <x:c r="A248" s="41"/>
      <x:c r="B248" s="41"/>
      <x:c r="C248" s="41"/>
      <x:c r="D248" s="41"/>
      <x:c r="E248" s="41"/>
      <x:c r="F248" s="41"/>
      <x:c r="G248" s="41"/>
      <x:c r="H248" s="41"/>
      <x:c r="I248" s="41"/>
      <x:c r="J248" s="41"/>
      <x:c r="K248" s="41"/>
      <x:c r="L248" s="41"/>
      <x:c r="M248" s="41"/>
      <x:c r="N248" s="41"/>
      <x:c r="O248" s="41"/>
      <x:c r="P248" s="41"/>
      <x:c r="Q248" s="41"/>
      <x:c r="R248" s="41"/>
      <x:c r="S248" s="41"/>
      <x:c r="T248" s="41"/>
      <x:c r="U248" s="41"/>
      <x:c r="V248" s="41"/>
      <x:c r="W248" s="41"/>
      <x:c r="X248" s="41"/>
      <x:c r="Y248" s="41"/>
      <x:c r="Z248" s="41"/>
    </x:row>
    <x:row r="249">
      <x:c r="A249" s="41"/>
      <x:c r="B249" s="41"/>
      <x:c r="C249" s="41"/>
      <x:c r="D249" s="41"/>
      <x:c r="E249" s="41"/>
      <x:c r="F249" s="41"/>
      <x:c r="G249" s="41"/>
      <x:c r="H249" s="41"/>
      <x:c r="I249" s="41"/>
      <x:c r="J249" s="41"/>
      <x:c r="K249" s="41"/>
      <x:c r="L249" s="41"/>
      <x:c r="M249" s="41"/>
      <x:c r="N249" s="41"/>
      <x:c r="O249" s="41"/>
      <x:c r="P249" s="41"/>
      <x:c r="Q249" s="41"/>
      <x:c r="R249" s="41"/>
      <x:c r="S249" s="41"/>
      <x:c r="T249" s="41"/>
      <x:c r="U249" s="41"/>
      <x:c r="V249" s="41"/>
      <x:c r="W249" s="41"/>
      <x:c r="X249" s="41"/>
      <x:c r="Y249" s="41"/>
      <x:c r="Z249" s="41"/>
    </x:row>
    <x:row r="250">
      <x:c r="A250" s="41"/>
      <x:c r="B250" s="41"/>
      <x:c r="C250" s="41"/>
      <x:c r="D250" s="41"/>
      <x:c r="E250" s="41"/>
      <x:c r="F250" s="41"/>
      <x:c r="G250" s="41"/>
      <x:c r="H250" s="41"/>
      <x:c r="I250" s="41"/>
      <x:c r="J250" s="41"/>
      <x:c r="K250" s="41"/>
      <x:c r="L250" s="41"/>
      <x:c r="M250" s="41"/>
      <x:c r="N250" s="41"/>
      <x:c r="O250" s="41"/>
      <x:c r="P250" s="41"/>
      <x:c r="Q250" s="41"/>
      <x:c r="R250" s="41"/>
      <x:c r="S250" s="41"/>
      <x:c r="T250" s="41"/>
      <x:c r="U250" s="41"/>
      <x:c r="V250" s="41"/>
      <x:c r="W250" s="41"/>
      <x:c r="X250" s="41"/>
      <x:c r="Y250" s="41"/>
      <x:c r="Z250" s="41"/>
    </x:row>
  </x:sheetData>
  <x:mergeCells>
    <x:mergeCell ref="A1:H2"/>
  </x:mergeCells>
  <x:conditionalFormatting sqref="B15:B15">
    <x:cfRule type="expression" dxfId="2" priority="1">
      <x:formula>B15="NO"</x:formula>
    </x:cfRule>
    <x:cfRule type="expression" dxfId="3" priority="2">
      <x:formula>B15="YES"</x:formula>
    </x:cfRule>
  </x:conditionalFormatting>
  <x:dataValidations count="1">
    <x:dataValidation type="list" sqref="D5">
      <x:formula1>"Continue,Pause,Escalate,Close Cycle"</x:formula1>
    </x:dataValidation>
  </x:dataValidations>
  <x:pageMargins left="0.7" right="0.7" top="0.75" bottom="0.75" header="0.3" footer="0.3"/>
  <x:drawing xmlns:r="http://schemas.openxmlformats.org/officeDocument/2006/relationships" r:id="Ra6ff098dfcd34d16"/>
</x:worksheet>
</file>

<file path=xl/worksheets/sheet11.xml><?xml version="1.0" encoding="utf-8"?>
<x:worksheet xmlns:x="http://schemas.openxmlformats.org/spreadsheetml/2006/main">
  <x:sheetFormatPr defaultRowHeight="15"/>
  <x:sheetData>
    <x:row r="1">
      <x:c r="A1" t="str">
        <x:v>ProgramStatus</x:v>
      </x:c>
      <x:c r="B1" t="str">
        <x:v>TaskStatus</x:v>
      </x:c>
      <x:c r="C1" t="str">
        <x:v>TaskResult</x:v>
      </x:c>
      <x:c r="D1" t="str">
        <x:v>IssueStatus</x:v>
      </x:c>
      <x:c r="E1" t="str">
        <x:v>WaveStatus</x:v>
      </x:c>
      <x:c r="F1" t="str">
        <x:v>SiteStatus</x:v>
      </x:c>
    </x:row>
    <x:row r="2">
      <x:c r="A2" t="str">
        <x:v>Draft</x:v>
      </x:c>
      <x:c r="B2" t="str">
        <x:v>Pending</x:v>
      </x:c>
      <x:c r="C2" t="str">
        <x:v>Pass</x:v>
      </x:c>
      <x:c r="D2" t="str">
        <x:v>Open</x:v>
      </x:c>
      <x:c r="E2" t="str">
        <x:v>Draft</x:v>
      </x:c>
      <x:c r="F2" t="str">
        <x:v>Planned</x:v>
      </x:c>
    </x:row>
    <x:row r="3">
      <x:c r="A3" t="str">
        <x:v>Active</x:v>
      </x:c>
      <x:c r="B3" t="str">
        <x:v>InProgress</x:v>
      </x:c>
      <x:c r="C3" t="str">
        <x:v>Fail</x:v>
      </x:c>
      <x:c r="D3" t="str">
        <x:v>Acknowledged</x:v>
      </x:c>
      <x:c r="E3" t="str">
        <x:v>InProgress</x:v>
      </x:c>
      <x:c r="F3" t="str">
        <x:v>InProgress</x:v>
      </x:c>
    </x:row>
    <x:row r="4">
      <x:c r="A4" t="str">
        <x:v>Paused</x:v>
      </x:c>
      <x:c r="B4" t="str">
        <x:v>Completed</x:v>
      </x:c>
      <x:c r="C4" t="str">
        <x:v>NotApplicable</x:v>
      </x:c>
      <x:c r="D4" t="str">
        <x:v>Resolved</x:v>
      </x:c>
      <x:c r="E4" t="str">
        <x:v>Ready</x:v>
      </x:c>
      <x:c r="F4" t="str">
        <x:v>Ready</x:v>
      </x:c>
    </x:row>
    <x:row r="5">
      <x:c r="A5" t="str">
        <x:v>Closed</x:v>
      </x:c>
      <x:c r="B5" t="str">
        <x:v>Overdue</x:v>
      </x:c>
      <x:c r="C5" t="str"/>
      <x:c r="D5" t="str">
        <x:v>Closed</x:v>
      </x:c>
      <x:c r="E5" t="str">
        <x:v>Active</x:v>
      </x:c>
      <x:c r="F5" t="str">
        <x:v>Live</x:v>
      </x:c>
    </x:row>
    <x:row r="6">
      <x:c r="A6" t="str"/>
      <x:c r="B6" t="str"/>
      <x:c r="C6" t="str"/>
      <x:c r="D6" t="str"/>
      <x:c r="E6" t="str">
        <x:v>Completed</x:v>
      </x:c>
      <x:c r="F6" t="str">
        <x:v>Blocked</x:v>
      </x:c>
    </x:row>
    <x:row r="7">
      <x:c r="A7" t="str"/>
      <x:c r="B7" t="str"/>
      <x:c r="C7" t="str"/>
      <x:c r="D7" t="str"/>
      <x:c r="E7" t="str">
        <x:v>Paused</x:v>
      </x:c>
      <x:c r="F7" t="str"/>
    </x:row>
    <x:row r="8">
      <x:c r="A8" t="str"/>
      <x:c r="B8" t="str"/>
      <x:c r="C8" t="str"/>
      <x:c r="D8" t="str"/>
      <x:c r="E8" t="str"/>
      <x:c r="F8" t="str"/>
    </x:row>
    <x:row r="9">
      <x:c r="A9" t="str"/>
      <x:c r="B9" t="str"/>
      <x:c r="C9" t="str"/>
      <x:c r="D9" t="str"/>
      <x:c r="E9" t="str"/>
      <x:c r="F9" t="str"/>
    </x:row>
    <x:row r="10">
      <x:c r="A10" t="str"/>
      <x:c r="B10" t="str"/>
      <x:c r="C10" t="str"/>
      <x:c r="D10" t="str"/>
      <x:c r="E10" t="str"/>
      <x:c r="F10" t="str"/>
    </x:row>
  </x:sheetData>
  <x:pageMargins left="0.7" right="0.7" top="0.75" bottom="0.75" header="0.3" footer="0.3"/>
</x:worksheet>
</file>