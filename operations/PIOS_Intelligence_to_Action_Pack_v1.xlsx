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dc826570b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8e303d4c3df4782"/>
    <x:sheet xmlns:r="http://schemas.openxmlformats.org/officeDocument/2006/relationships" name="Review_Sessions" sheetId="2" r:id="R60a2929536304514"/>
    <x:sheet xmlns:r="http://schemas.openxmlformats.org/officeDocument/2006/relationships" name="Review_Items" sheetId="3" r:id="R0d8d88c22be048bb"/>
    <x:sheet xmlns:r="http://schemas.openxmlformats.org/officeDocument/2006/relationships" name="Recommendations" sheetId="4" r:id="R8e54987da1914c3a"/>
    <x:sheet xmlns:r="http://schemas.openxmlformats.org/officeDocument/2006/relationships" name="Action_Plans" sheetId="5" r:id="Recad4fc1f74d43d6"/>
    <x:sheet xmlns:r="http://schemas.openxmlformats.org/officeDocument/2006/relationships" name="Action_Tasks" sheetId="6" r:id="R606b0aad906545d9"/>
    <x:sheet xmlns:r="http://schemas.openxmlformats.org/officeDocument/2006/relationships" name="Conversion_Requests" sheetId="7" r:id="R34a2de0810754857"/>
    <x:sheet xmlns:r="http://schemas.openxmlformats.org/officeDocument/2006/relationships" name="Human_Reviews" sheetId="8" r:id="R481846f08f5d46bf"/>
    <x:sheet xmlns:r="http://schemas.openxmlformats.org/officeDocument/2006/relationships" name="Traceability" sheetId="9" r:id="Rae887d726bb64e44"/>
    <x:sheet xmlns:r="http://schemas.openxmlformats.org/officeDocument/2006/relationships" name="Dashboard" sheetId="10" r:id="R0b6e095d5175420a"/>
    <x:sheet xmlns:r="http://schemas.openxmlformats.org/officeDocument/2006/relationships" name="_Lists" sheetId="11" r:id="R2ba7e5f68b554a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4F6C"/>
      <x:name val="Carlito"/>
    </x:font>
    <x:font>
      <x:b/>
      <x:sz val="11"/>
      <x:color rgb="FF1531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4F6C"/>
      </x:patternFill>
    </x:fill>
    <x:fill>
      <x:patternFill patternType="solid">
        <x:fgColor rgb="FFEAF5F3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6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393c67141e49c2" /><Relationship Type="http://schemas.openxmlformats.org/officeDocument/2006/relationships/theme" Target="/xl/theme/theme1.xml" Id="R049209fd10034fe0" /><Relationship Type="http://schemas.microsoft.com/office/2022/11/relationships/FeaturePropertyBag" Target="/xl/featurePropertyBag/featurePropertyBag.xml" Id="R52f3873aa6df4f4b" /><Relationship Type="http://schemas.openxmlformats.org/officeDocument/2006/relationships/sharedStrings" Target="/xl/sharedStrings.xml" Id="R71e3f33973584717" /><Relationship Type="http://schemas.openxmlformats.org/officeDocument/2006/relationships/worksheet" Target="/xl/worksheets/sheet1.xml" Id="R48e303d4c3df4782" /><Relationship Type="http://schemas.openxmlformats.org/officeDocument/2006/relationships/worksheet" Target="/xl/worksheets/sheet2.xml" Id="R60a2929536304514" /><Relationship Type="http://schemas.openxmlformats.org/officeDocument/2006/relationships/worksheet" Target="/xl/worksheets/sheet3.xml" Id="R0d8d88c22be048bb" /><Relationship Type="http://schemas.openxmlformats.org/officeDocument/2006/relationships/worksheet" Target="/xl/worksheets/sheet4.xml" Id="R8e54987da1914c3a" /><Relationship Type="http://schemas.openxmlformats.org/officeDocument/2006/relationships/worksheet" Target="/xl/worksheets/sheet5.xml" Id="Recad4fc1f74d43d6" /><Relationship Type="http://schemas.openxmlformats.org/officeDocument/2006/relationships/worksheet" Target="/xl/worksheets/sheet6.xml" Id="R606b0aad906545d9" /><Relationship Type="http://schemas.openxmlformats.org/officeDocument/2006/relationships/worksheet" Target="/xl/worksheets/sheet7.xml" Id="R34a2de0810754857" /><Relationship Type="http://schemas.openxmlformats.org/officeDocument/2006/relationships/worksheet" Target="/xl/worksheets/sheet8.xml" Id="R481846f08f5d46bf" /><Relationship Type="http://schemas.openxmlformats.org/officeDocument/2006/relationships/worksheet" Target="/xl/worksheets/sheet9.xml" Id="Rae887d726bb64e44" /><Relationship Type="http://schemas.openxmlformats.org/officeDocument/2006/relationships/worksheet" Target="/xl/worksheets/sheet10.xml" Id="R0b6e095d5175420a" /><Relationship Type="http://schemas.openxmlformats.org/officeDocument/2006/relationships/worksheet" Target="/xl/worksheets/sheet11.xml" Id="R2ba7e5f68b554a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893f742f5241d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Intelligence-to-Action Indicators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'Dashboard'!$A$5:$A$15</c:f>
              <c:strCache>
                <c:ptCount val="0"/>
              </c:strCache>
            </c:strRef>
          </c:cat>
          <c:val>
            <c:numRef>
              <c:f>'Dashboard'!$B$5:$B$15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893f742f5241d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ReviewSessionsTable" displayName="ReviewSessionsTable" ref="A4:J24" headerRowCount="1">
  <x:tableColumns count="10">
    <x:tableColumn id="1" name="Session Code"/>
    <x:tableColumn id="2" name="Title"/>
    <x:tableColumn id="3" name="Scheduled At"/>
    <x:tableColumn id="4" name="Status"/>
    <x:tableColumn id="5" name="Chair Role"/>
    <x:tableColumn id="6" name="Quorum Required"/>
    <x:tableColumn id="7" name="Attendees"/>
    <x:tableColumn id="8" name="Opened At"/>
    <x:tableColumn id="9" name="Closed At"/>
    <x:tableColumn id="10" name="Evidence Ref"/>
  </x:tableColumns>
  <x:tableStyleInfo name="TableStyleMedium2" showRowStripes="1"/>
</x:table>
</file>

<file path=xl/tables/table2.xml><?xml version="1.0" encoding="utf-8"?>
<x:table xmlns:x="http://schemas.openxmlformats.org/spreadsheetml/2006/main" id="3" name="ReviewItemsTable" displayName="ReviewItemsTable" ref="A4:K54" headerRowCount="1">
  <x:tableColumns count="11">
    <x:tableColumn id="1" name="Session Code"/>
    <x:tableColumn id="2" name="Sequence"/>
    <x:tableColumn id="3" name="Recommendation ID"/>
    <x:tableColumn id="4" name="ME_ID"/>
    <x:tableColumn id="5" name="Recommendation Status"/>
    <x:tableColumn id="6" name="Decision"/>
    <x:tableColumn id="7" name="Rationale"/>
    <x:tableColumn id="8" name="Decided By"/>
    <x:tableColumn id="9" name="Decided At"/>
    <x:tableColumn id="10" name="Board Eligible"/>
    <x:tableColumn id="11" name="Adopted Flag"/>
  </x:tableColumns>
  <x:tableStyleInfo name="TableStyleMedium2" showRowStripes="1"/>
</x:table>
</file>

<file path=xl/tables/table3.xml><?xml version="1.0" encoding="utf-8"?>
<x:table xmlns:x="http://schemas.openxmlformats.org/spreadsheetml/2006/main" id="1" name="RecommendationsTable" displayName="RecommendationsTable" ref="A4:L34" headerRowCount="1">
  <x:tableColumns count="12">
    <x:tableColumn id="1" name="Recommendation ID"/>
    <x:tableColumn id="2" name="Risk Run"/>
    <x:tableColumn id="3" name="ME_ID"/>
    <x:tableColumn id="4" name="Title"/>
    <x:tableColumn id="5" name="Recommendation"/>
    <x:tableColumn id="6" name="Rationale"/>
    <x:tableColumn id="7" name="Confidence"/>
    <x:tableColumn id="8" name="Status"/>
    <x:tableColumn id="9" name="Human Reviewer"/>
    <x:tableColumn id="10" name="Review Date"/>
    <x:tableColumn id="11" name="Decision Comment"/>
    <x:tableColumn id="12" name="Eligible for Board"/>
  </x:tableColumns>
  <x:tableStyleInfo name="TableStyleMedium2" showRowStripes="1"/>
</x:table>
</file>

<file path=xl/tables/table4.xml><?xml version="1.0" encoding="utf-8"?>
<x:table xmlns:x="http://schemas.openxmlformats.org/spreadsheetml/2006/main" id="4" name="ActionPlansTable" displayName="ActionPlansTable" ref="A4:O34" headerRowCount="1">
  <x:tableColumns count="15">
    <x:tableColumn id="1" name="Plan Code"/>
    <x:tableColumn id="2" name="Recommendation ID"/>
    <x:tableColumn id="3" name="ME_ID"/>
    <x:tableColumn id="4" name="Title"/>
    <x:tableColumn id="5" name="Objective"/>
    <x:tableColumn id="6" name="Owner Role"/>
    <x:tableColumn id="7" name="Verifier Role"/>
    <x:tableColumn id="8" name="Due Date"/>
    <x:tableColumn id="9" name="Status"/>
    <x:tableColumn id="10" name="Human Authorized"/>
    <x:tableColumn id="11" name="Approval Review"/>
    <x:tableColumn id="12" name="Tasks Total"/>
    <x:tableColumn id="13" name="Tasks Completed"/>
    <x:tableColumn id="14" name="Linked Finding"/>
    <x:tableColumn id="15" name="Linked CAPA"/>
  </x:tableColumns>
  <x:tableStyleInfo name="TableStyleMedium2" showRowStripes="1"/>
</x:table>
</file>

<file path=xl/tables/table5.xml><?xml version="1.0" encoding="utf-8"?>
<x:table xmlns:x="http://schemas.openxmlformats.org/spreadsheetml/2006/main" id="5" name="ActionTasksTable" displayName="ActionTasksTable" ref="A4:L104" headerRowCount="1">
  <x:tableColumns count="12">
    <x:tableColumn id="1" name="Plan Code"/>
    <x:tableColumn id="2" name="Sequence"/>
    <x:tableColumn id="3" name="Action"/>
    <x:tableColumn id="4" name="Owner Role"/>
    <x:tableColumn id="5" name="Due Date"/>
    <x:tableColumn id="6" name="Status"/>
    <x:tableColumn id="7" name="Evidence Reference"/>
    <x:tableColumn id="8" name="Completion Note"/>
    <x:tableColumn id="9" name="Completed By"/>
    <x:tableColumn id="10" name="Completed Date"/>
    <x:tableColumn id="11" name="Ready Flag"/>
    <x:tableColumn id="12" name="Overdue Flag"/>
  </x:tableColumns>
  <x:tableStyleInfo name="TableStyleMedium2" showRowStripes="1"/>
</x:table>
</file>

<file path=xl/tables/table6.xml><?xml version="1.0" encoding="utf-8"?>
<x:table xmlns:x="http://schemas.openxmlformats.org/spreadsheetml/2006/main" id="6" name="ConversionRequestsTable" displayName="ConversionRequestsTable" ref="A4:N54" headerRowCount="1">
  <x:tableColumns count="14">
    <x:tableColumn id="1" name="Request ID"/>
    <x:tableColumn id="2" name="Plan Code"/>
    <x:tableColumn id="3" name="Target Type"/>
    <x:tableColumn id="4" name="Severity"/>
    <x:tableColumn id="5" name="Rationale"/>
    <x:tableColumn id="6" name="Status"/>
    <x:tableColumn id="7" name="Requested By"/>
    <x:tableColumn id="8" name="Requested Date"/>
    <x:tableColumn id="9" name="Decision By"/>
    <x:tableColumn id="10" name="Decision Date"/>
    <x:tableColumn id="11" name="Execution By"/>
    <x:tableColumn id="12" name="Execution Date"/>
    <x:tableColumn id="13" name="Executed Entity ID"/>
    <x:tableColumn id="14" name="Guardrail Pass"/>
  </x:tableColumns>
  <x:tableStyleInfo name="TableStyleMedium2" showRowStripes="1"/>
</x:table>
</file>

<file path=xl/tables/table7.xml><?xml version="1.0" encoding="utf-8"?>
<x:table xmlns:x="http://schemas.openxmlformats.org/spreadsheetml/2006/main" id="7" name="HumanReviewsTable" displayName="HumanReviewsTable" ref="A4:K54" headerRowCount="1">
  <x:tableColumns count="11">
    <x:tableColumn id="1" name="Plan Code"/>
    <x:tableColumn id="2" name="Review Type"/>
    <x:tableColumn id="3" name="Decision"/>
    <x:tableColumn id="4" name="Comment"/>
    <x:tableColumn id="5" name="Reviewer Role"/>
    <x:tableColumn id="6" name="Reviewer Name"/>
    <x:tableColumn id="7" name="Reviewed Date"/>
    <x:tableColumn id="8" name="Auto Executed"/>
    <x:tableColumn id="9" name="Compliance Approved"/>
    <x:tableColumn id="10" name="CAPA Closed"/>
    <x:tableColumn id="11" name="Guardrail Result"/>
  </x:tableColumns>
  <x:tableStyleInfo name="TableStyleMedium2" showRowStripes="1"/>
</x:table>
</file>

<file path=xl/tables/table8.xml><?xml version="1.0" encoding="utf-8"?>
<x:table xmlns:x="http://schemas.openxmlformats.org/spreadsheetml/2006/main" id="8" name="TraceabilityTable" displayName="TraceabilityTable" ref="A4:N54" headerRowCount="1">
  <x:tableColumns count="14">
    <x:tableColumn id="1" name="ME_ID"/>
    <x:tableColumn id="2" name="Risk Run"/>
    <x:tableColumn id="3" name="Recommendation ID"/>
    <x:tableColumn id="4" name="Human Review"/>
    <x:tableColumn id="5" name="Board Decision"/>
    <x:tableColumn id="6" name="Plan Code"/>
    <x:tableColumn id="7" name="Plan Approval"/>
    <x:tableColumn id="8" name="Task Evidence"/>
    <x:tableColumn id="9" name="Conversion Request"/>
    <x:tableColumn id="10" name="Finding ID"/>
    <x:tableColumn id="11" name="CAPA ID"/>
    <x:tableColumn id="12" name="Completion Verification"/>
    <x:tableColumn id="13" name="Plan Completed"/>
    <x:tableColumn id="14" name="Trace Comple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6e2a77e6fa45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d08ac779ab40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551cbd926440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379fc8c5dd4a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f6a7e8115943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ee05a8ab3946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92cb4ff5004b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e15bb007de4fb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ea1e956343944b83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8" hidden="0" customWidth="1"/>
  </x:cols>
  <x:sheetData>
    <x:row r="1" ht="18" hidden="0" customHeight="1">
      <x:c r="A1" s="40" t="str">
        <x:v>PIOS - حزمة Intelligence-to-Action المحكومة بشريًا</x:v>
      </x:c>
      <x:c r="B1" s="40"/>
      <x:c r="C1" s="40"/>
      <x:c r="D1" s="40"/>
      <x:c r="E1" s="40"/>
      <x:c r="F1" s="40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8" hidden="0" customHeight="1">
      <x:c r="A2" s="40"/>
      <x:c r="B2" s="40"/>
      <x:c r="C2" s="40"/>
      <x:c r="D2" s="40"/>
      <x:c r="E2" s="40"/>
      <x:c r="F2" s="40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 ht="15" hidden="0" customHeight="1">
      <x:c r="A4" s="42" t="str">
        <x:v>البند</x:v>
      </x:c>
      <x:c r="B4" s="43" t="str">
        <x:v>الوصف</x:v>
      </x:c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 ht="15" hidden="0" customHeight="1">
      <x:c r="A5" s="42" t="str">
        <x:v>الغرض</x:v>
      </x:c>
      <x:c r="B5" s="43" t="str">
        <x:v>تتبع التوصية من المراجعة البشرية إلى قرار اللجنة وخطة العمل والمهام وطلبات التحويل.</x:v>
      </x:c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 ht="15" hidden="0" customHeight="1">
      <x:c r="A6" s="42" t="str">
        <x:v>قاعدة أساسية</x:v>
      </x:c>
      <x:c r="B6" s="43" t="str">
        <x:v>لا تنشأ خطة عمل قبل HumanApprovedForPlanning وقرار AdoptForPlanning.</x:v>
      </x:c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 ht="15" hidden="0" customHeight="1">
      <x:c r="A7" s="42" t="str">
        <x:v>Finding وCAPA</x:v>
      </x:c>
      <x:c r="B7" s="43" t="str">
        <x:v>لا ينشآن تلقائيًا؛ يتطلب كل منهما طلب تحويل، قرارًا بشريًا، وتنفيذًا صريحًا.</x:v>
      </x:c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 ht="15" hidden="0" customHeight="1">
      <x:c r="A8" s="42" t="str">
        <x:v>إكمال الخطة</x:v>
      </x:c>
      <x:c r="B8" s="43" t="str">
        <x:v>يتطلب اكتمال جميع المهام ومراجعة CompletionVerification مستقلة.</x:v>
      </x:c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 ht="15" hidden="0" customHeight="1">
      <x:c r="A9" s="42" t="str">
        <x:v>الحدود</x:v>
      </x:c>
      <x:c r="B9" s="43" t="str">
        <x:v>إكمال الخطة لا يغلق Finding أوCAPA ولا يعتمد الامتثال أوN/A.</x:v>
      </x:c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 ht="15" hidden="0" customHeight="1">
      <x:c r="A10" s="42" t="str">
        <x:v>الأدلة</x:v>
      </x:c>
      <x:c r="B10" s="43" t="str">
        <x:v>أدخل مراجع الأدلة والتذاكر فقط؛ لا تخزن أسرارًا أورموز وصول.</x:v>
      </x:c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 ht="15" hidden="0" customHeight="1">
      <x:c r="A11" s="42" t="str">
        <x:v>الإصدار</x:v>
      </x:c>
      <x:c r="B11" s="43" t="str">
        <x:v>Sprint 11 / Full Stack v1.2</x:v>
      </x:c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 ht="15" hidden="0" customHeight="1">
      <x:c r="A12" s="42" t="str">
        <x:v>تاريخ الإنشاء</x:v>
      </x:c>
      <x:c r="B12" s="44" t="n">
        <x:v>46235.8375</x:v>
      </x:c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 ht="15" hidden="0" customHeight="1">
      <x:c r="A13" s="42" t="str">
        <x:v>الحالة الفعلية</x:v>
      </x:c>
      <x:c r="B13" s="43" t="str">
        <x:v>غير محسومة حتى إدخال قرارات ونتائج وأدلة مؤسسية حقيقية.</x:v>
      </x:c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 ht="26.399999618530273" hidden="0" customHeight="1">
      <x:c r="A14" s="42" t="str">
        <x:v>مسار الاستخدام</x:v>
      </x:c>
      <x:c r="B14" s="43" t="str">
        <x:v>Recommendations → Review_Items → Action_Plans → Tasks → Conversion_Requests → Human_Reviews → Traceability.</x:v>
      </x:c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20" hidden="0" customWidth="1"/>
    <x:col min="4" max="4" width="14" hidden="0" customWidth="1"/>
    <x:col min="5" max="5" width="24" hidden="0" customWidth="1"/>
    <x:col min="6" max="6" width="16" hidden="0" customWidth="1"/>
    <x:col min="7" max="7" width="30" hidden="0" customWidth="1"/>
    <x:col min="8" max="8" width="20" hidden="0" customWidth="1"/>
    <x:col min="9" max="9" width="20" hidden="0" customWidth="1"/>
    <x:col min="10" max="10" width="30" hidden="0" customWidth="1"/>
  </x:cols>
  <x:sheetData>
    <x:row r="1">
      <x:c r="A1" s="40" t="str">
        <x:v>جلسات المراجعة البشرية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Session Code</x:v>
      </x:c>
      <x:c r="B4" s="50" t="str">
        <x:v>Title</x:v>
      </x:c>
      <x:c r="C4" s="50" t="str">
        <x:v>Scheduled At</x:v>
      </x:c>
      <x:c r="D4" s="50" t="str">
        <x:v>Status</x:v>
      </x:c>
      <x:c r="E4" s="50" t="str">
        <x:v>Chair Role</x:v>
      </x:c>
      <x:c r="F4" s="50" t="str">
        <x:v>Quorum Required</x:v>
      </x:c>
      <x:c r="G4" s="50" t="str">
        <x:v>Attendees</x:v>
      </x:c>
      <x:c r="H4" s="50" t="str">
        <x:v>Opened At</x:v>
      </x:c>
      <x:c r="I4" s="50" t="str">
        <x:v>Closed At</x:v>
      </x:c>
      <x:c r="J4" s="50" t="str">
        <x:v>Evidence Ref</x:v>
      </x:c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/>
      <x:c r="B5" s="43" t="str"/>
      <x:c r="C5" s="44" t="str"/>
      <x:c r="D5" s="43" t="str">
        <x:v>Draft</x:v>
      </x:c>
      <x:c r="E5" s="43" t="str">
        <x:v>AccreditationLead</x:v>
      </x:c>
      <x:c r="F5" s="43" t="n">
        <x:v>2</x:v>
      </x:c>
      <x:c r="G5" s="43" t="str"/>
      <x:c r="H5" s="44" t="str"/>
      <x:c r="I5" s="44" t="str"/>
      <x:c r="J5" s="43" t="str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 t="str"/>
      <x:c r="B6" s="43" t="str"/>
      <x:c r="C6" s="44" t="str"/>
      <x:c r="D6" s="43" t="str">
        <x:v>Draft</x:v>
      </x:c>
      <x:c r="E6" s="43" t="str">
        <x:v>AccreditationLead</x:v>
      </x:c>
      <x:c r="F6" s="43" t="n">
        <x:v>2</x:v>
      </x:c>
      <x:c r="G6" s="43" t="str"/>
      <x:c r="H6" s="44" t="str"/>
      <x:c r="I6" s="44" t="str"/>
      <x:c r="J6" s="43" t="str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 t="str"/>
      <x:c r="B7" s="43" t="str"/>
      <x:c r="C7" s="44" t="str"/>
      <x:c r="D7" s="43" t="str">
        <x:v>Draft</x:v>
      </x:c>
      <x:c r="E7" s="43" t="str">
        <x:v>AccreditationLead</x:v>
      </x:c>
      <x:c r="F7" s="43" t="n">
        <x:v>2</x:v>
      </x:c>
      <x:c r="G7" s="43" t="str"/>
      <x:c r="H7" s="44" t="str"/>
      <x:c r="I7" s="44" t="str"/>
      <x:c r="J7" s="43" t="str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 t="str"/>
      <x:c r="B8" s="43" t="str"/>
      <x:c r="C8" s="44" t="str"/>
      <x:c r="D8" s="43" t="str">
        <x:v>Draft</x:v>
      </x:c>
      <x:c r="E8" s="43" t="str">
        <x:v>AccreditationLead</x:v>
      </x:c>
      <x:c r="F8" s="43" t="n">
        <x:v>2</x:v>
      </x:c>
      <x:c r="G8" s="43" t="str"/>
      <x:c r="H8" s="44" t="str"/>
      <x:c r="I8" s="44" t="str"/>
      <x:c r="J8" s="43" t="str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 t="str"/>
      <x:c r="B9" s="43" t="str"/>
      <x:c r="C9" s="44" t="str"/>
      <x:c r="D9" s="43" t="str">
        <x:v>Draft</x:v>
      </x:c>
      <x:c r="E9" s="43" t="str">
        <x:v>AccreditationLead</x:v>
      </x:c>
      <x:c r="F9" s="43" t="n">
        <x:v>2</x:v>
      </x:c>
      <x:c r="G9" s="43" t="str"/>
      <x:c r="H9" s="44" t="str"/>
      <x:c r="I9" s="44" t="str"/>
      <x:c r="J9" s="43" t="str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 t="str"/>
      <x:c r="B10" s="43" t="str"/>
      <x:c r="C10" s="44" t="str"/>
      <x:c r="D10" s="43" t="str">
        <x:v>Draft</x:v>
      </x:c>
      <x:c r="E10" s="43" t="str">
        <x:v>AccreditationLead</x:v>
      </x:c>
      <x:c r="F10" s="43" t="n">
        <x:v>2</x:v>
      </x:c>
      <x:c r="G10" s="43" t="str"/>
      <x:c r="H10" s="44" t="str"/>
      <x:c r="I10" s="44" t="str"/>
      <x:c r="J10" s="43" t="str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 t="str"/>
      <x:c r="B11" s="43" t="str"/>
      <x:c r="C11" s="44" t="str"/>
      <x:c r="D11" s="43" t="str">
        <x:v>Draft</x:v>
      </x:c>
      <x:c r="E11" s="43" t="str">
        <x:v>AccreditationLead</x:v>
      </x:c>
      <x:c r="F11" s="43" t="n">
        <x:v>2</x:v>
      </x:c>
      <x:c r="G11" s="43" t="str"/>
      <x:c r="H11" s="44" t="str"/>
      <x:c r="I11" s="44" t="str"/>
      <x:c r="J11" s="43" t="str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 t="str"/>
      <x:c r="B12" s="43" t="str"/>
      <x:c r="C12" s="44" t="str"/>
      <x:c r="D12" s="43" t="str">
        <x:v>Draft</x:v>
      </x:c>
      <x:c r="E12" s="43" t="str">
        <x:v>AccreditationLead</x:v>
      </x:c>
      <x:c r="F12" s="43" t="n">
        <x:v>2</x:v>
      </x:c>
      <x:c r="G12" s="43" t="str"/>
      <x:c r="H12" s="44" t="str"/>
      <x:c r="I12" s="44" t="str"/>
      <x:c r="J12" s="43" t="str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 t="str"/>
      <x:c r="B13" s="43" t="str"/>
      <x:c r="C13" s="44" t="str"/>
      <x:c r="D13" s="43" t="str">
        <x:v>Draft</x:v>
      </x:c>
      <x:c r="E13" s="43" t="str">
        <x:v>AccreditationLead</x:v>
      </x:c>
      <x:c r="F13" s="43" t="n">
        <x:v>2</x:v>
      </x:c>
      <x:c r="G13" s="43" t="str"/>
      <x:c r="H13" s="44" t="str"/>
      <x:c r="I13" s="44" t="str"/>
      <x:c r="J13" s="43" t="str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 t="str"/>
      <x:c r="B14" s="43" t="str"/>
      <x:c r="C14" s="44" t="str"/>
      <x:c r="D14" s="43" t="str">
        <x:v>Draft</x:v>
      </x:c>
      <x:c r="E14" s="43" t="str">
        <x:v>AccreditationLead</x:v>
      </x:c>
      <x:c r="F14" s="43" t="n">
        <x:v>2</x:v>
      </x:c>
      <x:c r="G14" s="43" t="str"/>
      <x:c r="H14" s="44" t="str"/>
      <x:c r="I14" s="44" t="str"/>
      <x:c r="J14" s="43" t="str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 t="str"/>
      <x:c r="B15" s="43" t="str"/>
      <x:c r="C15" s="44" t="str"/>
      <x:c r="D15" s="43" t="str">
        <x:v>Draft</x:v>
      </x:c>
      <x:c r="E15" s="43" t="str">
        <x:v>AccreditationLead</x:v>
      </x:c>
      <x:c r="F15" s="43" t="n">
        <x:v>2</x:v>
      </x:c>
      <x:c r="G15" s="43" t="str"/>
      <x:c r="H15" s="44" t="str"/>
      <x:c r="I15" s="44" t="str"/>
      <x:c r="J15" s="43" t="str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 t="str"/>
      <x:c r="B16" s="43" t="str"/>
      <x:c r="C16" s="44" t="str"/>
      <x:c r="D16" s="43" t="str">
        <x:v>Draft</x:v>
      </x:c>
      <x:c r="E16" s="43" t="str">
        <x:v>AccreditationLead</x:v>
      </x:c>
      <x:c r="F16" s="43" t="n">
        <x:v>2</x:v>
      </x:c>
      <x:c r="G16" s="43" t="str"/>
      <x:c r="H16" s="44" t="str"/>
      <x:c r="I16" s="44" t="str"/>
      <x:c r="J16" s="43" t="str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 t="str"/>
      <x:c r="B17" s="43" t="str"/>
      <x:c r="C17" s="44" t="str"/>
      <x:c r="D17" s="43" t="str">
        <x:v>Draft</x:v>
      </x:c>
      <x:c r="E17" s="43" t="str">
        <x:v>AccreditationLead</x:v>
      </x:c>
      <x:c r="F17" s="43" t="n">
        <x:v>2</x:v>
      </x:c>
      <x:c r="G17" s="43" t="str"/>
      <x:c r="H17" s="44" t="str"/>
      <x:c r="I17" s="44" t="str"/>
      <x:c r="J17" s="43" t="str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 t="str"/>
      <x:c r="B18" s="43" t="str"/>
      <x:c r="C18" s="44" t="str"/>
      <x:c r="D18" s="43" t="str">
        <x:v>Draft</x:v>
      </x:c>
      <x:c r="E18" s="43" t="str">
        <x:v>AccreditationLead</x:v>
      </x:c>
      <x:c r="F18" s="43" t="n">
        <x:v>2</x:v>
      </x:c>
      <x:c r="G18" s="43" t="str"/>
      <x:c r="H18" s="44" t="str"/>
      <x:c r="I18" s="44" t="str"/>
      <x:c r="J18" s="43" t="str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 t="str"/>
      <x:c r="B19" s="43" t="str"/>
      <x:c r="C19" s="44" t="str"/>
      <x:c r="D19" s="43" t="str">
        <x:v>Draft</x:v>
      </x:c>
      <x:c r="E19" s="43" t="str">
        <x:v>AccreditationLead</x:v>
      </x:c>
      <x:c r="F19" s="43" t="n">
        <x:v>2</x:v>
      </x:c>
      <x:c r="G19" s="43" t="str"/>
      <x:c r="H19" s="44" t="str"/>
      <x:c r="I19" s="44" t="str"/>
      <x:c r="J19" s="43" t="str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 t="str"/>
      <x:c r="B20" s="43" t="str"/>
      <x:c r="C20" s="44" t="str"/>
      <x:c r="D20" s="43" t="str">
        <x:v>Draft</x:v>
      </x:c>
      <x:c r="E20" s="43" t="str">
        <x:v>AccreditationLead</x:v>
      </x:c>
      <x:c r="F20" s="43" t="n">
        <x:v>2</x:v>
      </x:c>
      <x:c r="G20" s="43" t="str"/>
      <x:c r="H20" s="44" t="str"/>
      <x:c r="I20" s="44" t="str"/>
      <x:c r="J20" s="43" t="str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 t="str"/>
      <x:c r="B21" s="43" t="str"/>
      <x:c r="C21" s="44" t="str"/>
      <x:c r="D21" s="43" t="str">
        <x:v>Draft</x:v>
      </x:c>
      <x:c r="E21" s="43" t="str">
        <x:v>AccreditationLead</x:v>
      </x:c>
      <x:c r="F21" s="43" t="n">
        <x:v>2</x:v>
      </x:c>
      <x:c r="G21" s="43" t="str"/>
      <x:c r="H21" s="44" t="str"/>
      <x:c r="I21" s="44" t="str"/>
      <x:c r="J21" s="43" t="str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 t="str"/>
      <x:c r="B22" s="43" t="str"/>
      <x:c r="C22" s="44" t="str"/>
      <x:c r="D22" s="43" t="str">
        <x:v>Draft</x:v>
      </x:c>
      <x:c r="E22" s="43" t="str">
        <x:v>AccreditationLead</x:v>
      </x:c>
      <x:c r="F22" s="43" t="n">
        <x:v>2</x:v>
      </x:c>
      <x:c r="G22" s="43" t="str"/>
      <x:c r="H22" s="44" t="str"/>
      <x:c r="I22" s="44" t="str"/>
      <x:c r="J22" s="43" t="str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 t="str"/>
      <x:c r="B23" s="43" t="str"/>
      <x:c r="C23" s="44" t="str"/>
      <x:c r="D23" s="43" t="str">
        <x:v>Draft</x:v>
      </x:c>
      <x:c r="E23" s="43" t="str">
        <x:v>AccreditationLead</x:v>
      </x:c>
      <x:c r="F23" s="43" t="n">
        <x:v>2</x:v>
      </x:c>
      <x:c r="G23" s="43" t="str"/>
      <x:c r="H23" s="44" t="str"/>
      <x:c r="I23" s="44" t="str"/>
      <x:c r="J23" s="43" t="str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 t="str"/>
      <x:c r="B24" s="43" t="str"/>
      <x:c r="C24" s="44" t="str"/>
      <x:c r="D24" s="43" t="str">
        <x:v>Draft</x:v>
      </x:c>
      <x:c r="E24" s="43" t="str">
        <x:v>AccreditationLead</x:v>
      </x:c>
      <x:c r="F24" s="43" t="n">
        <x:v>2</x:v>
      </x:c>
      <x:c r="G24" s="43" t="str"/>
      <x:c r="H24" s="44" t="str"/>
      <x:c r="I24" s="44" t="str"/>
      <x:c r="J24" s="43" t="str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J2"/>
  </x:mergeCells>
  <x:dataValidations count="1">
    <x:dataValidation type="list" sqref="D5:D24">
      <x:formula1>"Draft,Open,Closed,Cancelled"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6e2a77e6fa45a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20" hidden="0" customWidth="1"/>
    <x:col min="4" max="4" width="12" hidden="0" customWidth="1"/>
    <x:col min="5" max="5" width="26" hidden="0" customWidth="1"/>
    <x:col min="6" max="6" width="22" hidden="0" customWidth="1"/>
    <x:col min="7" max="7" width="50" hidden="0" customWidth="1"/>
    <x:col min="8" max="8" width="24" hidden="0" customWidth="1"/>
    <x:col min="9" max="9" width="20" hidden="0" customWidth="1"/>
    <x:col min="10" max="10" width="14" hidden="0" customWidth="1"/>
    <x:col min="11" max="11" width="14" hidden="0" customWidth="1"/>
  </x:cols>
  <x:sheetData>
    <x:row r="1">
      <x:c r="A1" s="40" t="str">
        <x:v>بنود جلسات المراجعة والقرارات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Session Code</x:v>
      </x:c>
      <x:c r="B4" s="50" t="str">
        <x:v>Sequence</x:v>
      </x:c>
      <x:c r="C4" s="50" t="str">
        <x:v>Recommendation ID</x:v>
      </x:c>
      <x:c r="D4" s="50" t="str">
        <x:v>ME_ID</x:v>
      </x:c>
      <x:c r="E4" s="50" t="str">
        <x:v>Recommendation Status</x:v>
      </x:c>
      <x:c r="F4" s="50" t="str">
        <x:v>Decision</x:v>
      </x:c>
      <x:c r="G4" s="50" t="str">
        <x:v>Rationale</x:v>
      </x:c>
      <x:c r="H4" s="50" t="str">
        <x:v>Decided By</x:v>
      </x:c>
      <x:c r="I4" s="50" t="str">
        <x:v>Decided At</x:v>
      </x:c>
      <x:c r="J4" s="50" t="str">
        <x:v>Board Eligible</x:v>
      </x:c>
      <x:c r="K4" s="50" t="str">
        <x:v>Adopted Flag</x:v>
      </x:c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/>
      <x:c r="B5" s="43" t="n">
        <x:v>1</x:v>
      </x:c>
      <x:c r="C5" s="43" t="str"/>
      <x:c r="D5" s="43" t="str"/>
      <x:c r="E5" s="43" t="str"/>
      <x:c r="F5" s="43" t="str"/>
      <x:c r="G5" s="43" t="str"/>
      <x:c r="H5" s="43" t="str"/>
      <x:c r="I5" s="44" t="str"/>
      <x:c r="J5" s="43" t="n">
        <x:f>IF(E5="HumanApprovedForPlanning",1,0)</x:f>
        <x:v>0</x:v>
      </x:c>
      <x:c r="K5" s="43" t="n">
        <x:f>IF(AND(J5=1,F5="AdoptForPlanning",G5&lt;&gt;"",H5&lt;&gt;""),1,0)</x:f>
        <x:v>0</x:v>
      </x:c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 t="str"/>
      <x:c r="B6" s="43" t="n">
        <x:v>2</x:v>
      </x:c>
      <x:c r="C6" s="43" t="str"/>
      <x:c r="D6" s="43" t="str"/>
      <x:c r="E6" s="43" t="str"/>
      <x:c r="F6" s="43" t="str"/>
      <x:c r="G6" s="43" t="str"/>
      <x:c r="H6" s="43" t="str"/>
      <x:c r="I6" s="44" t="str"/>
      <x:c r="J6" s="43" t="n">
        <x:f>IF(E6="HumanApprovedForPlanning",1,0)</x:f>
        <x:v>0</x:v>
      </x:c>
      <x:c r="K6" s="43" t="n">
        <x:f>IF(AND(J6=1,F6="AdoptForPlanning",G6&lt;&gt;"",H6&lt;&gt;""),1,0)</x:f>
        <x:v>0</x:v>
      </x:c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 t="str"/>
      <x:c r="B7" s="43" t="n">
        <x:v>3</x:v>
      </x:c>
      <x:c r="C7" s="43" t="str"/>
      <x:c r="D7" s="43" t="str"/>
      <x:c r="E7" s="43" t="str"/>
      <x:c r="F7" s="43" t="str"/>
      <x:c r="G7" s="43" t="str"/>
      <x:c r="H7" s="43" t="str"/>
      <x:c r="I7" s="44" t="str"/>
      <x:c r="J7" s="43" t="n">
        <x:f>IF(E7="HumanApprovedForPlanning",1,0)</x:f>
        <x:v>0</x:v>
      </x:c>
      <x:c r="K7" s="43" t="n">
        <x:f>IF(AND(J7=1,F7="AdoptForPlanning",G7&lt;&gt;"",H7&lt;&gt;""),1,0)</x:f>
        <x:v>0</x:v>
      </x:c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 t="str"/>
      <x:c r="B8" s="43" t="n">
        <x:v>4</x:v>
      </x:c>
      <x:c r="C8" s="43" t="str"/>
      <x:c r="D8" s="43" t="str"/>
      <x:c r="E8" s="43" t="str"/>
      <x:c r="F8" s="43" t="str"/>
      <x:c r="G8" s="43" t="str"/>
      <x:c r="H8" s="43" t="str"/>
      <x:c r="I8" s="44" t="str"/>
      <x:c r="J8" s="43" t="n">
        <x:f>IF(E8="HumanApprovedForPlanning",1,0)</x:f>
        <x:v>0</x:v>
      </x:c>
      <x:c r="K8" s="43" t="n">
        <x:f>IF(AND(J8=1,F8="AdoptForPlanning",G8&lt;&gt;"",H8&lt;&gt;""),1,0)</x:f>
        <x:v>0</x:v>
      </x:c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 t="str"/>
      <x:c r="B9" s="43" t="n">
        <x:v>5</x:v>
      </x:c>
      <x:c r="C9" s="43" t="str"/>
      <x:c r="D9" s="43" t="str"/>
      <x:c r="E9" s="43" t="str"/>
      <x:c r="F9" s="43" t="str"/>
      <x:c r="G9" s="43" t="str"/>
      <x:c r="H9" s="43" t="str"/>
      <x:c r="I9" s="44" t="str"/>
      <x:c r="J9" s="43" t="n">
        <x:f>IF(E9="HumanApprovedForPlanning",1,0)</x:f>
        <x:v>0</x:v>
      </x:c>
      <x:c r="K9" s="43" t="n">
        <x:f>IF(AND(J9=1,F9="AdoptForPlanning",G9&lt;&gt;"",H9&lt;&gt;""),1,0)</x:f>
        <x:v>0</x:v>
      </x:c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 t="str"/>
      <x:c r="B10" s="43" t="n">
        <x:v>6</x:v>
      </x:c>
      <x:c r="C10" s="43" t="str"/>
      <x:c r="D10" s="43" t="str"/>
      <x:c r="E10" s="43" t="str"/>
      <x:c r="F10" s="43" t="str"/>
      <x:c r="G10" s="43" t="str"/>
      <x:c r="H10" s="43" t="str"/>
      <x:c r="I10" s="44" t="str"/>
      <x:c r="J10" s="43" t="n">
        <x:f>IF(E10="HumanApprovedForPlanning",1,0)</x:f>
        <x:v>0</x:v>
      </x:c>
      <x:c r="K10" s="43" t="n">
        <x:f>IF(AND(J10=1,F10="AdoptForPlanning",G10&lt;&gt;"",H10&lt;&gt;""),1,0)</x:f>
        <x:v>0</x:v>
      </x:c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 t="str"/>
      <x:c r="B11" s="43" t="n">
        <x:v>7</x:v>
      </x:c>
      <x:c r="C11" s="43" t="str"/>
      <x:c r="D11" s="43" t="str"/>
      <x:c r="E11" s="43" t="str"/>
      <x:c r="F11" s="43" t="str"/>
      <x:c r="G11" s="43" t="str"/>
      <x:c r="H11" s="43" t="str"/>
      <x:c r="I11" s="44" t="str"/>
      <x:c r="J11" s="43" t="n">
        <x:f>IF(E11="HumanApprovedForPlanning",1,0)</x:f>
        <x:v>0</x:v>
      </x:c>
      <x:c r="K11" s="43" t="n">
        <x:f>IF(AND(J11=1,F11="AdoptForPlanning",G11&lt;&gt;"",H11&lt;&gt;""),1,0)</x:f>
        <x:v>0</x:v>
      </x:c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 t="str"/>
      <x:c r="B12" s="43" t="n">
        <x:v>8</x:v>
      </x:c>
      <x:c r="C12" s="43" t="str"/>
      <x:c r="D12" s="43" t="str"/>
      <x:c r="E12" s="43" t="str"/>
      <x:c r="F12" s="43" t="str"/>
      <x:c r="G12" s="43" t="str"/>
      <x:c r="H12" s="43" t="str"/>
      <x:c r="I12" s="44" t="str"/>
      <x:c r="J12" s="43" t="n">
        <x:f>IF(E12="HumanApprovedForPlanning",1,0)</x:f>
        <x:v>0</x:v>
      </x:c>
      <x:c r="K12" s="43" t="n">
        <x:f>IF(AND(J12=1,F12="AdoptForPlanning",G12&lt;&gt;"",H12&lt;&gt;""),1,0)</x:f>
        <x:v>0</x:v>
      </x:c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 t="str"/>
      <x:c r="B13" s="43" t="n">
        <x:v>9</x:v>
      </x:c>
      <x:c r="C13" s="43" t="str"/>
      <x:c r="D13" s="43" t="str"/>
      <x:c r="E13" s="43" t="str"/>
      <x:c r="F13" s="43" t="str"/>
      <x:c r="G13" s="43" t="str"/>
      <x:c r="H13" s="43" t="str"/>
      <x:c r="I13" s="44" t="str"/>
      <x:c r="J13" s="43" t="n">
        <x:f>IF(E13="HumanApprovedForPlanning",1,0)</x:f>
        <x:v>0</x:v>
      </x:c>
      <x:c r="K13" s="43" t="n">
        <x:f>IF(AND(J13=1,F13="AdoptForPlanning",G13&lt;&gt;"",H13&lt;&gt;""),1,0)</x:f>
        <x:v>0</x:v>
      </x:c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 t="str"/>
      <x:c r="B14" s="43" t="n">
        <x:v>10</x:v>
      </x:c>
      <x:c r="C14" s="43" t="str"/>
      <x:c r="D14" s="43" t="str"/>
      <x:c r="E14" s="43" t="str"/>
      <x:c r="F14" s="43" t="str"/>
      <x:c r="G14" s="43" t="str"/>
      <x:c r="H14" s="43" t="str"/>
      <x:c r="I14" s="44" t="str"/>
      <x:c r="J14" s="43" t="n">
        <x:f>IF(E14="HumanApprovedForPlanning",1,0)</x:f>
        <x:v>0</x:v>
      </x:c>
      <x:c r="K14" s="43" t="n">
        <x:f>IF(AND(J14=1,F14="AdoptForPlanning",G14&lt;&gt;"",H14&lt;&gt;""),1,0)</x:f>
        <x:v>0</x:v>
      </x:c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 t="str"/>
      <x:c r="B15" s="43" t="n">
        <x:v>11</x:v>
      </x:c>
      <x:c r="C15" s="43" t="str"/>
      <x:c r="D15" s="43" t="str"/>
      <x:c r="E15" s="43" t="str"/>
      <x:c r="F15" s="43" t="str"/>
      <x:c r="G15" s="43" t="str"/>
      <x:c r="H15" s="43" t="str"/>
      <x:c r="I15" s="44" t="str"/>
      <x:c r="J15" s="43" t="n">
        <x:f>IF(E15="HumanApprovedForPlanning",1,0)</x:f>
        <x:v>0</x:v>
      </x:c>
      <x:c r="K15" s="43" t="n">
        <x:f>IF(AND(J15=1,F15="AdoptForPlanning",G15&lt;&gt;"",H15&lt;&gt;""),1,0)</x:f>
        <x:v>0</x:v>
      </x:c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 t="str"/>
      <x:c r="B16" s="43" t="n">
        <x:v>12</x:v>
      </x:c>
      <x:c r="C16" s="43" t="str"/>
      <x:c r="D16" s="43" t="str"/>
      <x:c r="E16" s="43" t="str"/>
      <x:c r="F16" s="43" t="str"/>
      <x:c r="G16" s="43" t="str"/>
      <x:c r="H16" s="43" t="str"/>
      <x:c r="I16" s="44" t="str"/>
      <x:c r="J16" s="43" t="n">
        <x:f>IF(E16="HumanApprovedForPlanning",1,0)</x:f>
        <x:v>0</x:v>
      </x:c>
      <x:c r="K16" s="43" t="n">
        <x:f>IF(AND(J16=1,F16="AdoptForPlanning",G16&lt;&gt;"",H16&lt;&gt;""),1,0)</x:f>
        <x:v>0</x:v>
      </x:c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 t="str"/>
      <x:c r="B17" s="43" t="n">
        <x:v>13</x:v>
      </x:c>
      <x:c r="C17" s="43" t="str"/>
      <x:c r="D17" s="43" t="str"/>
      <x:c r="E17" s="43" t="str"/>
      <x:c r="F17" s="43" t="str"/>
      <x:c r="G17" s="43" t="str"/>
      <x:c r="H17" s="43" t="str"/>
      <x:c r="I17" s="44" t="str"/>
      <x:c r="J17" s="43" t="n">
        <x:f>IF(E17="HumanApprovedForPlanning",1,0)</x:f>
        <x:v>0</x:v>
      </x:c>
      <x:c r="K17" s="43" t="n">
        <x:f>IF(AND(J17=1,F17="AdoptForPlanning",G17&lt;&gt;"",H17&lt;&gt;""),1,0)</x:f>
        <x:v>0</x:v>
      </x:c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 t="str"/>
      <x:c r="B18" s="43" t="n">
        <x:v>14</x:v>
      </x:c>
      <x:c r="C18" s="43" t="str"/>
      <x:c r="D18" s="43" t="str"/>
      <x:c r="E18" s="43" t="str"/>
      <x:c r="F18" s="43" t="str"/>
      <x:c r="G18" s="43" t="str"/>
      <x:c r="H18" s="43" t="str"/>
      <x:c r="I18" s="44" t="str"/>
      <x:c r="J18" s="43" t="n">
        <x:f>IF(E18="HumanApprovedForPlanning",1,0)</x:f>
        <x:v>0</x:v>
      </x:c>
      <x:c r="K18" s="43" t="n">
        <x:f>IF(AND(J18=1,F18="AdoptForPlanning",G18&lt;&gt;"",H18&lt;&gt;""),1,0)</x:f>
        <x:v>0</x:v>
      </x:c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 t="str"/>
      <x:c r="B19" s="43" t="n">
        <x:v>15</x:v>
      </x:c>
      <x:c r="C19" s="43" t="str"/>
      <x:c r="D19" s="43" t="str"/>
      <x:c r="E19" s="43" t="str"/>
      <x:c r="F19" s="43" t="str"/>
      <x:c r="G19" s="43" t="str"/>
      <x:c r="H19" s="43" t="str"/>
      <x:c r="I19" s="44" t="str"/>
      <x:c r="J19" s="43" t="n">
        <x:f>IF(E19="HumanApprovedForPlanning",1,0)</x:f>
        <x:v>0</x:v>
      </x:c>
      <x:c r="K19" s="43" t="n">
        <x:f>IF(AND(J19=1,F19="AdoptForPlanning",G19&lt;&gt;"",H19&lt;&gt;""),1,0)</x:f>
        <x:v>0</x:v>
      </x:c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 t="str"/>
      <x:c r="B20" s="43" t="n">
        <x:v>16</x:v>
      </x:c>
      <x:c r="C20" s="43" t="str"/>
      <x:c r="D20" s="43" t="str"/>
      <x:c r="E20" s="43" t="str"/>
      <x:c r="F20" s="43" t="str"/>
      <x:c r="G20" s="43" t="str"/>
      <x:c r="H20" s="43" t="str"/>
      <x:c r="I20" s="44" t="str"/>
      <x:c r="J20" s="43" t="n">
        <x:f>IF(E20="HumanApprovedForPlanning",1,0)</x:f>
        <x:v>0</x:v>
      </x:c>
      <x:c r="K20" s="43" t="n">
        <x:f>IF(AND(J20=1,F20="AdoptForPlanning",G20&lt;&gt;"",H20&lt;&gt;""),1,0)</x:f>
        <x:v>0</x:v>
      </x:c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 t="str"/>
      <x:c r="B21" s="43" t="n">
        <x:v>17</x:v>
      </x:c>
      <x:c r="C21" s="43" t="str"/>
      <x:c r="D21" s="43" t="str"/>
      <x:c r="E21" s="43" t="str"/>
      <x:c r="F21" s="43" t="str"/>
      <x:c r="G21" s="43" t="str"/>
      <x:c r="H21" s="43" t="str"/>
      <x:c r="I21" s="44" t="str"/>
      <x:c r="J21" s="43" t="n">
        <x:f>IF(E21="HumanApprovedForPlanning",1,0)</x:f>
        <x:v>0</x:v>
      </x:c>
      <x:c r="K21" s="43" t="n">
        <x:f>IF(AND(J21=1,F21="AdoptForPlanning",G21&lt;&gt;"",H21&lt;&gt;""),1,0)</x:f>
        <x:v>0</x:v>
      </x:c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 t="str"/>
      <x:c r="B22" s="43" t="n">
        <x:v>18</x:v>
      </x:c>
      <x:c r="C22" s="43" t="str"/>
      <x:c r="D22" s="43" t="str"/>
      <x:c r="E22" s="43" t="str"/>
      <x:c r="F22" s="43" t="str"/>
      <x:c r="G22" s="43" t="str"/>
      <x:c r="H22" s="43" t="str"/>
      <x:c r="I22" s="44" t="str"/>
      <x:c r="J22" s="43" t="n">
        <x:f>IF(E22="HumanApprovedForPlanning",1,0)</x:f>
        <x:v>0</x:v>
      </x:c>
      <x:c r="K22" s="43" t="n">
        <x:f>IF(AND(J22=1,F22="AdoptForPlanning",G22&lt;&gt;"",H22&lt;&gt;""),1,0)</x:f>
        <x:v>0</x:v>
      </x:c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 t="str"/>
      <x:c r="B23" s="43" t="n">
        <x:v>19</x:v>
      </x:c>
      <x:c r="C23" s="43" t="str"/>
      <x:c r="D23" s="43" t="str"/>
      <x:c r="E23" s="43" t="str"/>
      <x:c r="F23" s="43" t="str"/>
      <x:c r="G23" s="43" t="str"/>
      <x:c r="H23" s="43" t="str"/>
      <x:c r="I23" s="44" t="str"/>
      <x:c r="J23" s="43" t="n">
        <x:f>IF(E23="HumanApprovedForPlanning",1,0)</x:f>
        <x:v>0</x:v>
      </x:c>
      <x:c r="K23" s="43" t="n">
        <x:f>IF(AND(J23=1,F23="AdoptForPlanning",G23&lt;&gt;"",H23&lt;&gt;""),1,0)</x:f>
        <x:v>0</x:v>
      </x:c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 t="str"/>
      <x:c r="B24" s="43" t="n">
        <x:v>20</x:v>
      </x:c>
      <x:c r="C24" s="43" t="str"/>
      <x:c r="D24" s="43" t="str"/>
      <x:c r="E24" s="43" t="str"/>
      <x:c r="F24" s="43" t="str"/>
      <x:c r="G24" s="43" t="str"/>
      <x:c r="H24" s="43" t="str"/>
      <x:c r="I24" s="44" t="str"/>
      <x:c r="J24" s="43" t="n">
        <x:f>IF(E24="HumanApprovedForPlanning",1,0)</x:f>
        <x:v>0</x:v>
      </x:c>
      <x:c r="K24" s="43" t="n">
        <x:f>IF(AND(J24=1,F24="AdoptForPlanning",G24&lt;&gt;"",H24&lt;&gt;""),1,0)</x:f>
        <x:v>0</x:v>
      </x:c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3" t="str"/>
      <x:c r="B25" s="43" t="n">
        <x:v>21</x:v>
      </x:c>
      <x:c r="C25" s="43" t="str"/>
      <x:c r="D25" s="43" t="str"/>
      <x:c r="E25" s="43" t="str"/>
      <x:c r="F25" s="43" t="str"/>
      <x:c r="G25" s="43" t="str"/>
      <x:c r="H25" s="43" t="str"/>
      <x:c r="I25" s="44" t="str"/>
      <x:c r="J25" s="43" t="n">
        <x:f>IF(E25="HumanApprovedForPlanning",1,0)</x:f>
        <x:v>0</x:v>
      </x:c>
      <x:c r="K25" s="43" t="n">
        <x:f>IF(AND(J25=1,F25="AdoptForPlanning",G25&lt;&gt;"",H25&lt;&gt;""),1,0)</x:f>
        <x:v>0</x:v>
      </x:c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3" t="str"/>
      <x:c r="B26" s="43" t="n">
        <x:v>22</x:v>
      </x:c>
      <x:c r="C26" s="43" t="str"/>
      <x:c r="D26" s="43" t="str"/>
      <x:c r="E26" s="43" t="str"/>
      <x:c r="F26" s="43" t="str"/>
      <x:c r="G26" s="43" t="str"/>
      <x:c r="H26" s="43" t="str"/>
      <x:c r="I26" s="44" t="str"/>
      <x:c r="J26" s="43" t="n">
        <x:f>IF(E26="HumanApprovedForPlanning",1,0)</x:f>
        <x:v>0</x:v>
      </x:c>
      <x:c r="K26" s="43" t="n">
        <x:f>IF(AND(J26=1,F26="AdoptForPlanning",G26&lt;&gt;"",H26&lt;&gt;""),1,0)</x:f>
        <x:v>0</x:v>
      </x:c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3" t="str"/>
      <x:c r="B27" s="43" t="n">
        <x:v>23</x:v>
      </x:c>
      <x:c r="C27" s="43" t="str"/>
      <x:c r="D27" s="43" t="str"/>
      <x:c r="E27" s="43" t="str"/>
      <x:c r="F27" s="43" t="str"/>
      <x:c r="G27" s="43" t="str"/>
      <x:c r="H27" s="43" t="str"/>
      <x:c r="I27" s="44" t="str"/>
      <x:c r="J27" s="43" t="n">
        <x:f>IF(E27="HumanApprovedForPlanning",1,0)</x:f>
        <x:v>0</x:v>
      </x:c>
      <x:c r="K27" s="43" t="n">
        <x:f>IF(AND(J27=1,F27="AdoptForPlanning",G27&lt;&gt;"",H27&lt;&gt;""),1,0)</x:f>
        <x:v>0</x:v>
      </x:c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3" t="str"/>
      <x:c r="B28" s="43" t="n">
        <x:v>24</x:v>
      </x:c>
      <x:c r="C28" s="43" t="str"/>
      <x:c r="D28" s="43" t="str"/>
      <x:c r="E28" s="43" t="str"/>
      <x:c r="F28" s="43" t="str"/>
      <x:c r="G28" s="43" t="str"/>
      <x:c r="H28" s="43" t="str"/>
      <x:c r="I28" s="44" t="str"/>
      <x:c r="J28" s="43" t="n">
        <x:f>IF(E28="HumanApprovedForPlanning",1,0)</x:f>
        <x:v>0</x:v>
      </x:c>
      <x:c r="K28" s="43" t="n">
        <x:f>IF(AND(J28=1,F28="AdoptForPlanning",G28&lt;&gt;"",H28&lt;&gt;""),1,0)</x:f>
        <x:v>0</x:v>
      </x:c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3" t="str"/>
      <x:c r="B29" s="43" t="n">
        <x:v>25</x:v>
      </x:c>
      <x:c r="C29" s="43" t="str"/>
      <x:c r="D29" s="43" t="str"/>
      <x:c r="E29" s="43" t="str"/>
      <x:c r="F29" s="43" t="str"/>
      <x:c r="G29" s="43" t="str"/>
      <x:c r="H29" s="43" t="str"/>
      <x:c r="I29" s="44" t="str"/>
      <x:c r="J29" s="43" t="n">
        <x:f>IF(E29="HumanApprovedForPlanning",1,0)</x:f>
        <x:v>0</x:v>
      </x:c>
      <x:c r="K29" s="43" t="n">
        <x:f>IF(AND(J29=1,F29="AdoptForPlanning",G29&lt;&gt;"",H29&lt;&gt;""),1,0)</x:f>
        <x:v>0</x:v>
      </x:c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3" t="str"/>
      <x:c r="B30" s="43" t="n">
        <x:v>26</x:v>
      </x:c>
      <x:c r="C30" s="43" t="str"/>
      <x:c r="D30" s="43" t="str"/>
      <x:c r="E30" s="43" t="str"/>
      <x:c r="F30" s="43" t="str"/>
      <x:c r="G30" s="43" t="str"/>
      <x:c r="H30" s="43" t="str"/>
      <x:c r="I30" s="44" t="str"/>
      <x:c r="J30" s="43" t="n">
        <x:f>IF(E30="HumanApprovedForPlanning",1,0)</x:f>
        <x:v>0</x:v>
      </x:c>
      <x:c r="K30" s="43" t="n">
        <x:f>IF(AND(J30=1,F30="AdoptForPlanning",G30&lt;&gt;"",H30&lt;&gt;""),1,0)</x:f>
        <x:v>0</x:v>
      </x:c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3" t="str"/>
      <x:c r="B31" s="43" t="n">
        <x:v>27</x:v>
      </x:c>
      <x:c r="C31" s="43" t="str"/>
      <x:c r="D31" s="43" t="str"/>
      <x:c r="E31" s="43" t="str"/>
      <x:c r="F31" s="43" t="str"/>
      <x:c r="G31" s="43" t="str"/>
      <x:c r="H31" s="43" t="str"/>
      <x:c r="I31" s="44" t="str"/>
      <x:c r="J31" s="43" t="n">
        <x:f>IF(E31="HumanApprovedForPlanning",1,0)</x:f>
        <x:v>0</x:v>
      </x:c>
      <x:c r="K31" s="43" t="n">
        <x:f>IF(AND(J31=1,F31="AdoptForPlanning",G31&lt;&gt;"",H31&lt;&gt;""),1,0)</x:f>
        <x:v>0</x:v>
      </x:c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3" t="str"/>
      <x:c r="B32" s="43" t="n">
        <x:v>28</x:v>
      </x:c>
      <x:c r="C32" s="43" t="str"/>
      <x:c r="D32" s="43" t="str"/>
      <x:c r="E32" s="43" t="str"/>
      <x:c r="F32" s="43" t="str"/>
      <x:c r="G32" s="43" t="str"/>
      <x:c r="H32" s="43" t="str"/>
      <x:c r="I32" s="44" t="str"/>
      <x:c r="J32" s="43" t="n">
        <x:f>IF(E32="HumanApprovedForPlanning",1,0)</x:f>
        <x:v>0</x:v>
      </x:c>
      <x:c r="K32" s="43" t="n">
        <x:f>IF(AND(J32=1,F32="AdoptForPlanning",G32&lt;&gt;"",H32&lt;&gt;""),1,0)</x:f>
        <x:v>0</x:v>
      </x:c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3" t="str"/>
      <x:c r="B33" s="43" t="n">
        <x:v>29</x:v>
      </x:c>
      <x:c r="C33" s="43" t="str"/>
      <x:c r="D33" s="43" t="str"/>
      <x:c r="E33" s="43" t="str"/>
      <x:c r="F33" s="43" t="str"/>
      <x:c r="G33" s="43" t="str"/>
      <x:c r="H33" s="43" t="str"/>
      <x:c r="I33" s="44" t="str"/>
      <x:c r="J33" s="43" t="n">
        <x:f>IF(E33="HumanApprovedForPlanning",1,0)</x:f>
        <x:v>0</x:v>
      </x:c>
      <x:c r="K33" s="43" t="n">
        <x:f>IF(AND(J33=1,F33="AdoptForPlanning",G33&lt;&gt;"",H33&lt;&gt;""),1,0)</x:f>
        <x:v>0</x:v>
      </x:c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3" t="str"/>
      <x:c r="B34" s="43" t="n">
        <x:v>30</x:v>
      </x:c>
      <x:c r="C34" s="43" t="str"/>
      <x:c r="D34" s="43" t="str"/>
      <x:c r="E34" s="43" t="str"/>
      <x:c r="F34" s="43" t="str"/>
      <x:c r="G34" s="43" t="str"/>
      <x:c r="H34" s="43" t="str"/>
      <x:c r="I34" s="44" t="str"/>
      <x:c r="J34" s="43" t="n">
        <x:f>IF(E34="HumanApprovedForPlanning",1,0)</x:f>
        <x:v>0</x:v>
      </x:c>
      <x:c r="K34" s="43" t="n">
        <x:f>IF(AND(J34=1,F34="AdoptForPlanning",G34&lt;&gt;"",H34&lt;&gt;""),1,0)</x:f>
        <x:v>0</x:v>
      </x:c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3" t="str"/>
      <x:c r="B35" s="43" t="n">
        <x:v>31</x:v>
      </x:c>
      <x:c r="C35" s="43" t="str"/>
      <x:c r="D35" s="43" t="str"/>
      <x:c r="E35" s="43" t="str"/>
      <x:c r="F35" s="43" t="str"/>
      <x:c r="G35" s="43" t="str"/>
      <x:c r="H35" s="43" t="str"/>
      <x:c r="I35" s="44" t="str"/>
      <x:c r="J35" s="43" t="n">
        <x:f>IF(E35="HumanApprovedForPlanning",1,0)</x:f>
        <x:v>0</x:v>
      </x:c>
      <x:c r="K35" s="43" t="n">
        <x:f>IF(AND(J35=1,F35="AdoptForPlanning",G35&lt;&gt;"",H35&lt;&gt;""),1,0)</x:f>
        <x:v>0</x:v>
      </x:c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3" t="str"/>
      <x:c r="B36" s="43" t="n">
        <x:v>32</x:v>
      </x:c>
      <x:c r="C36" s="43" t="str"/>
      <x:c r="D36" s="43" t="str"/>
      <x:c r="E36" s="43" t="str"/>
      <x:c r="F36" s="43" t="str"/>
      <x:c r="G36" s="43" t="str"/>
      <x:c r="H36" s="43" t="str"/>
      <x:c r="I36" s="44" t="str"/>
      <x:c r="J36" s="43" t="n">
        <x:f>IF(E36="HumanApprovedForPlanning",1,0)</x:f>
        <x:v>0</x:v>
      </x:c>
      <x:c r="K36" s="43" t="n">
        <x:f>IF(AND(J36=1,F36="AdoptForPlanning",G36&lt;&gt;"",H36&lt;&gt;""),1,0)</x:f>
        <x:v>0</x:v>
      </x:c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3" t="str"/>
      <x:c r="B37" s="43" t="n">
        <x:v>33</x:v>
      </x:c>
      <x:c r="C37" s="43" t="str"/>
      <x:c r="D37" s="43" t="str"/>
      <x:c r="E37" s="43" t="str"/>
      <x:c r="F37" s="43" t="str"/>
      <x:c r="G37" s="43" t="str"/>
      <x:c r="H37" s="43" t="str"/>
      <x:c r="I37" s="44" t="str"/>
      <x:c r="J37" s="43" t="n">
        <x:f>IF(E37="HumanApprovedForPlanning",1,0)</x:f>
        <x:v>0</x:v>
      </x:c>
      <x:c r="K37" s="43" t="n">
        <x:f>IF(AND(J37=1,F37="AdoptForPlanning",G37&lt;&gt;"",H37&lt;&gt;""),1,0)</x:f>
        <x:v>0</x:v>
      </x:c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3" t="str"/>
      <x:c r="B38" s="43" t="n">
        <x:v>34</x:v>
      </x:c>
      <x:c r="C38" s="43" t="str"/>
      <x:c r="D38" s="43" t="str"/>
      <x:c r="E38" s="43" t="str"/>
      <x:c r="F38" s="43" t="str"/>
      <x:c r="G38" s="43" t="str"/>
      <x:c r="H38" s="43" t="str"/>
      <x:c r="I38" s="44" t="str"/>
      <x:c r="J38" s="43" t="n">
        <x:f>IF(E38="HumanApprovedForPlanning",1,0)</x:f>
        <x:v>0</x:v>
      </x:c>
      <x:c r="K38" s="43" t="n">
        <x:f>IF(AND(J38=1,F38="AdoptForPlanning",G38&lt;&gt;"",H38&lt;&gt;""),1,0)</x:f>
        <x:v>0</x:v>
      </x:c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3" t="str"/>
      <x:c r="B39" s="43" t="n">
        <x:v>35</x:v>
      </x:c>
      <x:c r="C39" s="43" t="str"/>
      <x:c r="D39" s="43" t="str"/>
      <x:c r="E39" s="43" t="str"/>
      <x:c r="F39" s="43" t="str"/>
      <x:c r="G39" s="43" t="str"/>
      <x:c r="H39" s="43" t="str"/>
      <x:c r="I39" s="44" t="str"/>
      <x:c r="J39" s="43" t="n">
        <x:f>IF(E39="HumanApprovedForPlanning",1,0)</x:f>
        <x:v>0</x:v>
      </x:c>
      <x:c r="K39" s="43" t="n">
        <x:f>IF(AND(J39=1,F39="AdoptForPlanning",G39&lt;&gt;"",H39&lt;&gt;""),1,0)</x:f>
        <x:v>0</x:v>
      </x:c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3" t="str"/>
      <x:c r="B40" s="43" t="n">
        <x:v>36</x:v>
      </x:c>
      <x:c r="C40" s="43" t="str"/>
      <x:c r="D40" s="43" t="str"/>
      <x:c r="E40" s="43" t="str"/>
      <x:c r="F40" s="43" t="str"/>
      <x:c r="G40" s="43" t="str"/>
      <x:c r="H40" s="43" t="str"/>
      <x:c r="I40" s="44" t="str"/>
      <x:c r="J40" s="43" t="n">
        <x:f>IF(E40="HumanApprovedForPlanning",1,0)</x:f>
        <x:v>0</x:v>
      </x:c>
      <x:c r="K40" s="43" t="n">
        <x:f>IF(AND(J40=1,F40="AdoptForPlanning",G40&lt;&gt;"",H40&lt;&gt;""),1,0)</x:f>
        <x:v>0</x:v>
      </x:c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3" t="str"/>
      <x:c r="B41" s="43" t="n">
        <x:v>37</x:v>
      </x:c>
      <x:c r="C41" s="43" t="str"/>
      <x:c r="D41" s="43" t="str"/>
      <x:c r="E41" s="43" t="str"/>
      <x:c r="F41" s="43" t="str"/>
      <x:c r="G41" s="43" t="str"/>
      <x:c r="H41" s="43" t="str"/>
      <x:c r="I41" s="44" t="str"/>
      <x:c r="J41" s="43" t="n">
        <x:f>IF(E41="HumanApprovedForPlanning",1,0)</x:f>
        <x:v>0</x:v>
      </x:c>
      <x:c r="K41" s="43" t="n">
        <x:f>IF(AND(J41=1,F41="AdoptForPlanning",G41&lt;&gt;"",H41&lt;&gt;""),1,0)</x:f>
        <x:v>0</x:v>
      </x:c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3" t="str"/>
      <x:c r="B42" s="43" t="n">
        <x:v>38</x:v>
      </x:c>
      <x:c r="C42" s="43" t="str"/>
      <x:c r="D42" s="43" t="str"/>
      <x:c r="E42" s="43" t="str"/>
      <x:c r="F42" s="43" t="str"/>
      <x:c r="G42" s="43" t="str"/>
      <x:c r="H42" s="43" t="str"/>
      <x:c r="I42" s="44" t="str"/>
      <x:c r="J42" s="43" t="n">
        <x:f>IF(E42="HumanApprovedForPlanning",1,0)</x:f>
        <x:v>0</x:v>
      </x:c>
      <x:c r="K42" s="43" t="n">
        <x:f>IF(AND(J42=1,F42="AdoptForPlanning",G42&lt;&gt;"",H42&lt;&gt;""),1,0)</x:f>
        <x:v>0</x:v>
      </x:c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3" t="str"/>
      <x:c r="B43" s="43" t="n">
        <x:v>39</x:v>
      </x:c>
      <x:c r="C43" s="43" t="str"/>
      <x:c r="D43" s="43" t="str"/>
      <x:c r="E43" s="43" t="str"/>
      <x:c r="F43" s="43" t="str"/>
      <x:c r="G43" s="43" t="str"/>
      <x:c r="H43" s="43" t="str"/>
      <x:c r="I43" s="44" t="str"/>
      <x:c r="J43" s="43" t="n">
        <x:f>IF(E43="HumanApprovedForPlanning",1,0)</x:f>
        <x:v>0</x:v>
      </x:c>
      <x:c r="K43" s="43" t="n">
        <x:f>IF(AND(J43=1,F43="AdoptForPlanning",G43&lt;&gt;"",H43&lt;&gt;""),1,0)</x:f>
        <x:v>0</x:v>
      </x:c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3" t="str"/>
      <x:c r="B44" s="43" t="n">
        <x:v>40</x:v>
      </x:c>
      <x:c r="C44" s="43" t="str"/>
      <x:c r="D44" s="43" t="str"/>
      <x:c r="E44" s="43" t="str"/>
      <x:c r="F44" s="43" t="str"/>
      <x:c r="G44" s="43" t="str"/>
      <x:c r="H44" s="43" t="str"/>
      <x:c r="I44" s="44" t="str"/>
      <x:c r="J44" s="43" t="n">
        <x:f>IF(E44="HumanApprovedForPlanning",1,0)</x:f>
        <x:v>0</x:v>
      </x:c>
      <x:c r="K44" s="43" t="n">
        <x:f>IF(AND(J44=1,F44="AdoptForPlanning",G44&lt;&gt;"",H44&lt;&gt;""),1,0)</x:f>
        <x:v>0</x:v>
      </x:c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3" t="str"/>
      <x:c r="B45" s="43" t="n">
        <x:v>41</x:v>
      </x:c>
      <x:c r="C45" s="43" t="str"/>
      <x:c r="D45" s="43" t="str"/>
      <x:c r="E45" s="43" t="str"/>
      <x:c r="F45" s="43" t="str"/>
      <x:c r="G45" s="43" t="str"/>
      <x:c r="H45" s="43" t="str"/>
      <x:c r="I45" s="44" t="str"/>
      <x:c r="J45" s="43" t="n">
        <x:f>IF(E45="HumanApprovedForPlanning",1,0)</x:f>
        <x:v>0</x:v>
      </x:c>
      <x:c r="K45" s="43" t="n">
        <x:f>IF(AND(J45=1,F45="AdoptForPlanning",G45&lt;&gt;"",H45&lt;&gt;""),1,0)</x:f>
        <x:v>0</x:v>
      </x:c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3" t="str"/>
      <x:c r="B46" s="43" t="n">
        <x:v>42</x:v>
      </x:c>
      <x:c r="C46" s="43" t="str"/>
      <x:c r="D46" s="43" t="str"/>
      <x:c r="E46" s="43" t="str"/>
      <x:c r="F46" s="43" t="str"/>
      <x:c r="G46" s="43" t="str"/>
      <x:c r="H46" s="43" t="str"/>
      <x:c r="I46" s="44" t="str"/>
      <x:c r="J46" s="43" t="n">
        <x:f>IF(E46="HumanApprovedForPlanning",1,0)</x:f>
        <x:v>0</x:v>
      </x:c>
      <x:c r="K46" s="43" t="n">
        <x:f>IF(AND(J46=1,F46="AdoptForPlanning",G46&lt;&gt;"",H46&lt;&gt;""),1,0)</x:f>
        <x:v>0</x:v>
      </x:c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3" t="str"/>
      <x:c r="B47" s="43" t="n">
        <x:v>43</x:v>
      </x:c>
      <x:c r="C47" s="43" t="str"/>
      <x:c r="D47" s="43" t="str"/>
      <x:c r="E47" s="43" t="str"/>
      <x:c r="F47" s="43" t="str"/>
      <x:c r="G47" s="43" t="str"/>
      <x:c r="H47" s="43" t="str"/>
      <x:c r="I47" s="44" t="str"/>
      <x:c r="J47" s="43" t="n">
        <x:f>IF(E47="HumanApprovedForPlanning",1,0)</x:f>
        <x:v>0</x:v>
      </x:c>
      <x:c r="K47" s="43" t="n">
        <x:f>IF(AND(J47=1,F47="AdoptForPlanning",G47&lt;&gt;"",H47&lt;&gt;""),1,0)</x:f>
        <x:v>0</x:v>
      </x:c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3" t="str"/>
      <x:c r="B48" s="43" t="n">
        <x:v>44</x:v>
      </x:c>
      <x:c r="C48" s="43" t="str"/>
      <x:c r="D48" s="43" t="str"/>
      <x:c r="E48" s="43" t="str"/>
      <x:c r="F48" s="43" t="str"/>
      <x:c r="G48" s="43" t="str"/>
      <x:c r="H48" s="43" t="str"/>
      <x:c r="I48" s="44" t="str"/>
      <x:c r="J48" s="43" t="n">
        <x:f>IF(E48="HumanApprovedForPlanning",1,0)</x:f>
        <x:v>0</x:v>
      </x:c>
      <x:c r="K48" s="43" t="n">
        <x:f>IF(AND(J48=1,F48="AdoptForPlanning",G48&lt;&gt;"",H48&lt;&gt;""),1,0)</x:f>
        <x:v>0</x:v>
      </x:c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3" t="str"/>
      <x:c r="B49" s="43" t="n">
        <x:v>45</x:v>
      </x:c>
      <x:c r="C49" s="43" t="str"/>
      <x:c r="D49" s="43" t="str"/>
      <x:c r="E49" s="43" t="str"/>
      <x:c r="F49" s="43" t="str"/>
      <x:c r="G49" s="43" t="str"/>
      <x:c r="H49" s="43" t="str"/>
      <x:c r="I49" s="44" t="str"/>
      <x:c r="J49" s="43" t="n">
        <x:f>IF(E49="HumanApprovedForPlanning",1,0)</x:f>
        <x:v>0</x:v>
      </x:c>
      <x:c r="K49" s="43" t="n">
        <x:f>IF(AND(J49=1,F49="AdoptForPlanning",G49&lt;&gt;"",H49&lt;&gt;""),1,0)</x:f>
        <x:v>0</x:v>
      </x:c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3" t="str"/>
      <x:c r="B50" s="43" t="n">
        <x:v>46</x:v>
      </x:c>
      <x:c r="C50" s="43" t="str"/>
      <x:c r="D50" s="43" t="str"/>
      <x:c r="E50" s="43" t="str"/>
      <x:c r="F50" s="43" t="str"/>
      <x:c r="G50" s="43" t="str"/>
      <x:c r="H50" s="43" t="str"/>
      <x:c r="I50" s="44" t="str"/>
      <x:c r="J50" s="43" t="n">
        <x:f>IF(E50="HumanApprovedForPlanning",1,0)</x:f>
        <x:v>0</x:v>
      </x:c>
      <x:c r="K50" s="43" t="n">
        <x:f>IF(AND(J50=1,F50="AdoptForPlanning",G50&lt;&gt;"",H50&lt;&gt;""),1,0)</x:f>
        <x:v>0</x:v>
      </x:c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3" t="str"/>
      <x:c r="B51" s="43" t="n">
        <x:v>47</x:v>
      </x:c>
      <x:c r="C51" s="43" t="str"/>
      <x:c r="D51" s="43" t="str"/>
      <x:c r="E51" s="43" t="str"/>
      <x:c r="F51" s="43" t="str"/>
      <x:c r="G51" s="43" t="str"/>
      <x:c r="H51" s="43" t="str"/>
      <x:c r="I51" s="44" t="str"/>
      <x:c r="J51" s="43" t="n">
        <x:f>IF(E51="HumanApprovedForPlanning",1,0)</x:f>
        <x:v>0</x:v>
      </x:c>
      <x:c r="K51" s="43" t="n">
        <x:f>IF(AND(J51=1,F51="AdoptForPlanning",G51&lt;&gt;"",H51&lt;&gt;""),1,0)</x:f>
        <x:v>0</x:v>
      </x:c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3" t="str"/>
      <x:c r="B52" s="43" t="n">
        <x:v>48</x:v>
      </x:c>
      <x:c r="C52" s="43" t="str"/>
      <x:c r="D52" s="43" t="str"/>
      <x:c r="E52" s="43" t="str"/>
      <x:c r="F52" s="43" t="str"/>
      <x:c r="G52" s="43" t="str"/>
      <x:c r="H52" s="43" t="str"/>
      <x:c r="I52" s="44" t="str"/>
      <x:c r="J52" s="43" t="n">
        <x:f>IF(E52="HumanApprovedForPlanning",1,0)</x:f>
        <x:v>0</x:v>
      </x:c>
      <x:c r="K52" s="43" t="n">
        <x:f>IF(AND(J52=1,F52="AdoptForPlanning",G52&lt;&gt;"",H52&lt;&gt;""),1,0)</x:f>
        <x:v>0</x:v>
      </x:c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3" t="str"/>
      <x:c r="B53" s="43" t="n">
        <x:v>49</x:v>
      </x:c>
      <x:c r="C53" s="43" t="str"/>
      <x:c r="D53" s="43" t="str"/>
      <x:c r="E53" s="43" t="str"/>
      <x:c r="F53" s="43" t="str"/>
      <x:c r="G53" s="43" t="str"/>
      <x:c r="H53" s="43" t="str"/>
      <x:c r="I53" s="44" t="str"/>
      <x:c r="J53" s="43" t="n">
        <x:f>IF(E53="HumanApprovedForPlanning",1,0)</x:f>
        <x:v>0</x:v>
      </x:c>
      <x:c r="K53" s="43" t="n">
        <x:f>IF(AND(J53=1,F53="AdoptForPlanning",G53&lt;&gt;"",H53&lt;&gt;""),1,0)</x:f>
        <x:v>0</x:v>
      </x:c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3" t="str"/>
      <x:c r="B54" s="43" t="n">
        <x:v>50</x:v>
      </x:c>
      <x:c r="C54" s="43" t="str"/>
      <x:c r="D54" s="43" t="str"/>
      <x:c r="E54" s="43" t="str"/>
      <x:c r="F54" s="43" t="str"/>
      <x:c r="G54" s="43" t="str"/>
      <x:c r="H54" s="43" t="str"/>
      <x:c r="I54" s="44" t="str"/>
      <x:c r="J54" s="43" t="n">
        <x:f>IF(E54="HumanApprovedForPlanning",1,0)</x:f>
        <x:v>0</x:v>
      </x:c>
      <x:c r="K54" s="43" t="n">
        <x:f>IF(AND(J54=1,F54="AdoptForPlanning",G54&lt;&gt;"",H54&lt;&gt;""),1,0)</x:f>
        <x:v>0</x:v>
      </x:c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K2"/>
  </x:mergeCells>
  <x:dataValidations count="2">
    <x:dataValidation type="list" sqref="E5:E54">
      <x:formula1>_Lists!$A$2:$A$5</x:formula1>
    </x:dataValidation>
    <x:dataValidation type="list" sqref="F5:F54">
      <x:formula1>_Lists!$B$2:$B$5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d08ac779ab40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2" hidden="0" customWidth="1"/>
    <x:col min="4" max="4" width="42" hidden="0" customWidth="1"/>
    <x:col min="5" max="5" width="58" hidden="0" customWidth="1"/>
    <x:col min="6" max="6" width="48" hidden="0" customWidth="1"/>
    <x:col min="7" max="7" width="12" hidden="0" customWidth="1"/>
    <x:col min="8" max="8" width="26" hidden="0" customWidth="1"/>
    <x:col min="9" max="9" width="24" hidden="0" customWidth="1"/>
    <x:col min="10" max="10" width="20" hidden="0" customWidth="1"/>
    <x:col min="11" max="11" width="45" hidden="0" customWidth="1"/>
    <x:col min="12" max="12" width="16" hidden="0" customWidth="1"/>
  </x:cols>
  <x:sheetData>
    <x:row r="1">
      <x:c r="A1" s="40" t="str">
        <x:v>سجل التوصيات ومراجعتها البشرية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Recommendation ID</x:v>
      </x:c>
      <x:c r="B4" s="50" t="str">
        <x:v>Risk Run</x:v>
      </x:c>
      <x:c r="C4" s="50" t="str">
        <x:v>ME_ID</x:v>
      </x:c>
      <x:c r="D4" s="50" t="str">
        <x:v>Title</x:v>
      </x:c>
      <x:c r="E4" s="50" t="str">
        <x:v>Recommendation</x:v>
      </x:c>
      <x:c r="F4" s="50" t="str">
        <x:v>Rationale</x:v>
      </x:c>
      <x:c r="G4" s="50" t="str">
        <x:v>Confidence</x:v>
      </x:c>
      <x:c r="H4" s="50" t="str">
        <x:v>Status</x:v>
      </x:c>
      <x:c r="I4" s="50" t="str">
        <x:v>Human Reviewer</x:v>
      </x:c>
      <x:c r="J4" s="50" t="str">
        <x:v>Review Date</x:v>
      </x:c>
      <x:c r="K4" s="50" t="str">
        <x:v>Decision Comment</x:v>
      </x:c>
      <x:c r="L4" s="50" t="str">
        <x:v>Eligible for Board</x:v>
      </x:c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/>
      <x:c r="B5" s="43" t="str"/>
      <x:c r="C5" s="43" t="str"/>
      <x:c r="D5" s="43" t="str"/>
      <x:c r="E5" s="43" t="str"/>
      <x:c r="F5" s="43" t="str"/>
      <x:c r="G5" s="43" t="str"/>
      <x:c r="H5" s="43" t="str">
        <x:v>NeedsHumanReview</x:v>
      </x:c>
      <x:c r="I5" s="43" t="str"/>
      <x:c r="J5" s="44" t="str"/>
      <x:c r="K5" s="43" t="str"/>
      <x:c r="L5" s="43" t="n">
        <x:f>IF(H5="HumanApprovedForPlanning",1,0)</x:f>
        <x:v>0</x:v>
      </x:c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 t="str"/>
      <x:c r="B6" s="43" t="str"/>
      <x:c r="C6" s="43" t="str"/>
      <x:c r="D6" s="43" t="str"/>
      <x:c r="E6" s="43" t="str"/>
      <x:c r="F6" s="43" t="str"/>
      <x:c r="G6" s="43" t="str"/>
      <x:c r="H6" s="43" t="str">
        <x:v>NeedsHumanReview</x:v>
      </x:c>
      <x:c r="I6" s="43" t="str"/>
      <x:c r="J6" s="44" t="str"/>
      <x:c r="K6" s="43" t="str"/>
      <x:c r="L6" s="43" t="n">
        <x:f>IF(H6="HumanApprovedForPlanning",1,0)</x:f>
        <x:v>0</x:v>
      </x:c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 t="str"/>
      <x:c r="B7" s="43" t="str"/>
      <x:c r="C7" s="43" t="str"/>
      <x:c r="D7" s="43" t="str"/>
      <x:c r="E7" s="43" t="str"/>
      <x:c r="F7" s="43" t="str"/>
      <x:c r="G7" s="43" t="str"/>
      <x:c r="H7" s="43" t="str">
        <x:v>NeedsHumanReview</x:v>
      </x:c>
      <x:c r="I7" s="43" t="str"/>
      <x:c r="J7" s="44" t="str"/>
      <x:c r="K7" s="43" t="str"/>
      <x:c r="L7" s="43" t="n">
        <x:f>IF(H7="HumanApprovedForPlanning",1,0)</x:f>
        <x:v>0</x:v>
      </x:c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 t="str"/>
      <x:c r="B8" s="43" t="str"/>
      <x:c r="C8" s="43" t="str"/>
      <x:c r="D8" s="43" t="str"/>
      <x:c r="E8" s="43" t="str"/>
      <x:c r="F8" s="43" t="str"/>
      <x:c r="G8" s="43" t="str"/>
      <x:c r="H8" s="43" t="str">
        <x:v>NeedsHumanReview</x:v>
      </x:c>
      <x:c r="I8" s="43" t="str"/>
      <x:c r="J8" s="44" t="str"/>
      <x:c r="K8" s="43" t="str"/>
      <x:c r="L8" s="43" t="n">
        <x:f>IF(H8="HumanApprovedForPlanning",1,0)</x:f>
        <x:v>0</x:v>
      </x:c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 t="str"/>
      <x:c r="B9" s="43" t="str"/>
      <x:c r="C9" s="43" t="str"/>
      <x:c r="D9" s="43" t="str"/>
      <x:c r="E9" s="43" t="str"/>
      <x:c r="F9" s="43" t="str"/>
      <x:c r="G9" s="43" t="str"/>
      <x:c r="H9" s="43" t="str">
        <x:v>NeedsHumanReview</x:v>
      </x:c>
      <x:c r="I9" s="43" t="str"/>
      <x:c r="J9" s="44" t="str"/>
      <x:c r="K9" s="43" t="str"/>
      <x:c r="L9" s="43" t="n">
        <x:f>IF(H9="HumanApprovedForPlanning",1,0)</x:f>
        <x:v>0</x:v>
      </x:c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 t="str"/>
      <x:c r="B10" s="43" t="str"/>
      <x:c r="C10" s="43" t="str"/>
      <x:c r="D10" s="43" t="str"/>
      <x:c r="E10" s="43" t="str"/>
      <x:c r="F10" s="43" t="str"/>
      <x:c r="G10" s="43" t="str"/>
      <x:c r="H10" s="43" t="str">
        <x:v>NeedsHumanReview</x:v>
      </x:c>
      <x:c r="I10" s="43" t="str"/>
      <x:c r="J10" s="44" t="str"/>
      <x:c r="K10" s="43" t="str"/>
      <x:c r="L10" s="43" t="n">
        <x:f>IF(H10="HumanApprovedForPlanning",1,0)</x:f>
        <x:v>0</x:v>
      </x:c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 t="str"/>
      <x:c r="B11" s="43" t="str"/>
      <x:c r="C11" s="43" t="str"/>
      <x:c r="D11" s="43" t="str"/>
      <x:c r="E11" s="43" t="str"/>
      <x:c r="F11" s="43" t="str"/>
      <x:c r="G11" s="43" t="str"/>
      <x:c r="H11" s="43" t="str">
        <x:v>NeedsHumanReview</x:v>
      </x:c>
      <x:c r="I11" s="43" t="str"/>
      <x:c r="J11" s="44" t="str"/>
      <x:c r="K11" s="43" t="str"/>
      <x:c r="L11" s="43" t="n">
        <x:f>IF(H11="HumanApprovedForPlanning",1,0)</x:f>
        <x:v>0</x:v>
      </x:c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 t="str"/>
      <x:c r="B12" s="43" t="str"/>
      <x:c r="C12" s="43" t="str"/>
      <x:c r="D12" s="43" t="str"/>
      <x:c r="E12" s="43" t="str"/>
      <x:c r="F12" s="43" t="str"/>
      <x:c r="G12" s="43" t="str"/>
      <x:c r="H12" s="43" t="str">
        <x:v>NeedsHumanReview</x:v>
      </x:c>
      <x:c r="I12" s="43" t="str"/>
      <x:c r="J12" s="44" t="str"/>
      <x:c r="K12" s="43" t="str"/>
      <x:c r="L12" s="43" t="n">
        <x:f>IF(H12="HumanApprovedForPlanning",1,0)</x:f>
        <x:v>0</x:v>
      </x:c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 t="str"/>
      <x:c r="B13" s="43" t="str"/>
      <x:c r="C13" s="43" t="str"/>
      <x:c r="D13" s="43" t="str"/>
      <x:c r="E13" s="43" t="str"/>
      <x:c r="F13" s="43" t="str"/>
      <x:c r="G13" s="43" t="str"/>
      <x:c r="H13" s="43" t="str">
        <x:v>NeedsHumanReview</x:v>
      </x:c>
      <x:c r="I13" s="43" t="str"/>
      <x:c r="J13" s="44" t="str"/>
      <x:c r="K13" s="43" t="str"/>
      <x:c r="L13" s="43" t="n">
        <x:f>IF(H13="HumanApprovedForPlanning",1,0)</x:f>
        <x:v>0</x:v>
      </x:c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 t="str"/>
      <x:c r="B14" s="43" t="str"/>
      <x:c r="C14" s="43" t="str"/>
      <x:c r="D14" s="43" t="str"/>
      <x:c r="E14" s="43" t="str"/>
      <x:c r="F14" s="43" t="str"/>
      <x:c r="G14" s="43" t="str"/>
      <x:c r="H14" s="43" t="str">
        <x:v>NeedsHumanReview</x:v>
      </x:c>
      <x:c r="I14" s="43" t="str"/>
      <x:c r="J14" s="44" t="str"/>
      <x:c r="K14" s="43" t="str"/>
      <x:c r="L14" s="43" t="n">
        <x:f>IF(H14="HumanApprovedForPlanning",1,0)</x:f>
        <x:v>0</x:v>
      </x:c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 t="str"/>
      <x:c r="B15" s="43" t="str"/>
      <x:c r="C15" s="43" t="str"/>
      <x:c r="D15" s="43" t="str"/>
      <x:c r="E15" s="43" t="str"/>
      <x:c r="F15" s="43" t="str"/>
      <x:c r="G15" s="43" t="str"/>
      <x:c r="H15" s="43" t="str">
        <x:v>NeedsHumanReview</x:v>
      </x:c>
      <x:c r="I15" s="43" t="str"/>
      <x:c r="J15" s="44" t="str"/>
      <x:c r="K15" s="43" t="str"/>
      <x:c r="L15" s="43" t="n">
        <x:f>IF(H15="HumanApprovedForPlanning",1,0)</x:f>
        <x:v>0</x:v>
      </x:c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 t="str"/>
      <x:c r="B16" s="43" t="str"/>
      <x:c r="C16" s="43" t="str"/>
      <x:c r="D16" s="43" t="str"/>
      <x:c r="E16" s="43" t="str"/>
      <x:c r="F16" s="43" t="str"/>
      <x:c r="G16" s="43" t="str"/>
      <x:c r="H16" s="43" t="str">
        <x:v>NeedsHumanReview</x:v>
      </x:c>
      <x:c r="I16" s="43" t="str"/>
      <x:c r="J16" s="44" t="str"/>
      <x:c r="K16" s="43" t="str"/>
      <x:c r="L16" s="43" t="n">
        <x:f>IF(H16="HumanApprovedForPlanning",1,0)</x:f>
        <x:v>0</x:v>
      </x:c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 t="str"/>
      <x:c r="B17" s="43" t="str"/>
      <x:c r="C17" s="43" t="str"/>
      <x:c r="D17" s="43" t="str"/>
      <x:c r="E17" s="43" t="str"/>
      <x:c r="F17" s="43" t="str"/>
      <x:c r="G17" s="43" t="str"/>
      <x:c r="H17" s="43" t="str">
        <x:v>NeedsHumanReview</x:v>
      </x:c>
      <x:c r="I17" s="43" t="str"/>
      <x:c r="J17" s="44" t="str"/>
      <x:c r="K17" s="43" t="str"/>
      <x:c r="L17" s="43" t="n">
        <x:f>IF(H17="HumanApprovedForPlanning",1,0)</x:f>
        <x:v>0</x:v>
      </x:c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 t="str"/>
      <x:c r="B18" s="43" t="str"/>
      <x:c r="C18" s="43" t="str"/>
      <x:c r="D18" s="43" t="str"/>
      <x:c r="E18" s="43" t="str"/>
      <x:c r="F18" s="43" t="str"/>
      <x:c r="G18" s="43" t="str"/>
      <x:c r="H18" s="43" t="str">
        <x:v>NeedsHumanReview</x:v>
      </x:c>
      <x:c r="I18" s="43" t="str"/>
      <x:c r="J18" s="44" t="str"/>
      <x:c r="K18" s="43" t="str"/>
      <x:c r="L18" s="43" t="n">
        <x:f>IF(H18="HumanApprovedForPlanning",1,0)</x:f>
        <x:v>0</x:v>
      </x:c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 t="str"/>
      <x:c r="B19" s="43" t="str"/>
      <x:c r="C19" s="43" t="str"/>
      <x:c r="D19" s="43" t="str"/>
      <x:c r="E19" s="43" t="str"/>
      <x:c r="F19" s="43" t="str"/>
      <x:c r="G19" s="43" t="str"/>
      <x:c r="H19" s="43" t="str">
        <x:v>NeedsHumanReview</x:v>
      </x:c>
      <x:c r="I19" s="43" t="str"/>
      <x:c r="J19" s="44" t="str"/>
      <x:c r="K19" s="43" t="str"/>
      <x:c r="L19" s="43" t="n">
        <x:f>IF(H19="HumanApprovedForPlanning",1,0)</x:f>
        <x:v>0</x:v>
      </x:c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 t="str"/>
      <x:c r="B20" s="43" t="str"/>
      <x:c r="C20" s="43" t="str"/>
      <x:c r="D20" s="43" t="str"/>
      <x:c r="E20" s="43" t="str"/>
      <x:c r="F20" s="43" t="str"/>
      <x:c r="G20" s="43" t="str"/>
      <x:c r="H20" s="43" t="str">
        <x:v>NeedsHumanReview</x:v>
      </x:c>
      <x:c r="I20" s="43" t="str"/>
      <x:c r="J20" s="44" t="str"/>
      <x:c r="K20" s="43" t="str"/>
      <x:c r="L20" s="43" t="n">
        <x:f>IF(H20="HumanApprovedForPlanning",1,0)</x:f>
        <x:v>0</x:v>
      </x:c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 t="str"/>
      <x:c r="B21" s="43" t="str"/>
      <x:c r="C21" s="43" t="str"/>
      <x:c r="D21" s="43" t="str"/>
      <x:c r="E21" s="43" t="str"/>
      <x:c r="F21" s="43" t="str"/>
      <x:c r="G21" s="43" t="str"/>
      <x:c r="H21" s="43" t="str">
        <x:v>NeedsHumanReview</x:v>
      </x:c>
      <x:c r="I21" s="43" t="str"/>
      <x:c r="J21" s="44" t="str"/>
      <x:c r="K21" s="43" t="str"/>
      <x:c r="L21" s="43" t="n">
        <x:f>IF(H21="HumanApprovedForPlanning",1,0)</x:f>
        <x:v>0</x:v>
      </x:c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 t="str"/>
      <x:c r="B22" s="43" t="str"/>
      <x:c r="C22" s="43" t="str"/>
      <x:c r="D22" s="43" t="str"/>
      <x:c r="E22" s="43" t="str"/>
      <x:c r="F22" s="43" t="str"/>
      <x:c r="G22" s="43" t="str"/>
      <x:c r="H22" s="43" t="str">
        <x:v>NeedsHumanReview</x:v>
      </x:c>
      <x:c r="I22" s="43" t="str"/>
      <x:c r="J22" s="44" t="str"/>
      <x:c r="K22" s="43" t="str"/>
      <x:c r="L22" s="43" t="n">
        <x:f>IF(H22="HumanApprovedForPlanning",1,0)</x:f>
        <x:v>0</x:v>
      </x:c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 t="str"/>
      <x:c r="B23" s="43" t="str"/>
      <x:c r="C23" s="43" t="str"/>
      <x:c r="D23" s="43" t="str"/>
      <x:c r="E23" s="43" t="str"/>
      <x:c r="F23" s="43" t="str"/>
      <x:c r="G23" s="43" t="str"/>
      <x:c r="H23" s="43" t="str">
        <x:v>NeedsHumanReview</x:v>
      </x:c>
      <x:c r="I23" s="43" t="str"/>
      <x:c r="J23" s="44" t="str"/>
      <x:c r="K23" s="43" t="str"/>
      <x:c r="L23" s="43" t="n">
        <x:f>IF(H23="HumanApprovedForPlanning",1,0)</x:f>
        <x:v>0</x:v>
      </x:c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 t="str"/>
      <x:c r="B24" s="43" t="str"/>
      <x:c r="C24" s="43" t="str"/>
      <x:c r="D24" s="43" t="str"/>
      <x:c r="E24" s="43" t="str"/>
      <x:c r="F24" s="43" t="str"/>
      <x:c r="G24" s="43" t="str"/>
      <x:c r="H24" s="43" t="str">
        <x:v>NeedsHumanReview</x:v>
      </x:c>
      <x:c r="I24" s="43" t="str"/>
      <x:c r="J24" s="44" t="str"/>
      <x:c r="K24" s="43" t="str"/>
      <x:c r="L24" s="43" t="n">
        <x:f>IF(H24="HumanApprovedForPlanning",1,0)</x:f>
        <x:v>0</x:v>
      </x:c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3" t="str"/>
      <x:c r="B25" s="43" t="str"/>
      <x:c r="C25" s="43" t="str"/>
      <x:c r="D25" s="43" t="str"/>
      <x:c r="E25" s="43" t="str"/>
      <x:c r="F25" s="43" t="str"/>
      <x:c r="G25" s="43" t="str"/>
      <x:c r="H25" s="43" t="str">
        <x:v>NeedsHumanReview</x:v>
      </x:c>
      <x:c r="I25" s="43" t="str"/>
      <x:c r="J25" s="44" t="str"/>
      <x:c r="K25" s="43" t="str"/>
      <x:c r="L25" s="43" t="n">
        <x:f>IF(H25="HumanApprovedForPlanning",1,0)</x:f>
        <x:v>0</x:v>
      </x:c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3" t="str"/>
      <x:c r="B26" s="43" t="str"/>
      <x:c r="C26" s="43" t="str"/>
      <x:c r="D26" s="43" t="str"/>
      <x:c r="E26" s="43" t="str"/>
      <x:c r="F26" s="43" t="str"/>
      <x:c r="G26" s="43" t="str"/>
      <x:c r="H26" s="43" t="str">
        <x:v>NeedsHumanReview</x:v>
      </x:c>
      <x:c r="I26" s="43" t="str"/>
      <x:c r="J26" s="44" t="str"/>
      <x:c r="K26" s="43" t="str"/>
      <x:c r="L26" s="43" t="n">
        <x:f>IF(H26="HumanApprovedForPlanning",1,0)</x:f>
        <x:v>0</x:v>
      </x:c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3" t="str"/>
      <x:c r="B27" s="43" t="str"/>
      <x:c r="C27" s="43" t="str"/>
      <x:c r="D27" s="43" t="str"/>
      <x:c r="E27" s="43" t="str"/>
      <x:c r="F27" s="43" t="str"/>
      <x:c r="G27" s="43" t="str"/>
      <x:c r="H27" s="43" t="str">
        <x:v>NeedsHumanReview</x:v>
      </x:c>
      <x:c r="I27" s="43" t="str"/>
      <x:c r="J27" s="44" t="str"/>
      <x:c r="K27" s="43" t="str"/>
      <x:c r="L27" s="43" t="n">
        <x:f>IF(H27="HumanApprovedForPlanning",1,0)</x:f>
        <x:v>0</x:v>
      </x:c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3" t="str"/>
      <x:c r="B28" s="43" t="str"/>
      <x:c r="C28" s="43" t="str"/>
      <x:c r="D28" s="43" t="str"/>
      <x:c r="E28" s="43" t="str"/>
      <x:c r="F28" s="43" t="str"/>
      <x:c r="G28" s="43" t="str"/>
      <x:c r="H28" s="43" t="str">
        <x:v>NeedsHumanReview</x:v>
      </x:c>
      <x:c r="I28" s="43" t="str"/>
      <x:c r="J28" s="44" t="str"/>
      <x:c r="K28" s="43" t="str"/>
      <x:c r="L28" s="43" t="n">
        <x:f>IF(H28="HumanApprovedForPlanning",1,0)</x:f>
        <x:v>0</x:v>
      </x:c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3" t="str"/>
      <x:c r="B29" s="43" t="str"/>
      <x:c r="C29" s="43" t="str"/>
      <x:c r="D29" s="43" t="str"/>
      <x:c r="E29" s="43" t="str"/>
      <x:c r="F29" s="43" t="str"/>
      <x:c r="G29" s="43" t="str"/>
      <x:c r="H29" s="43" t="str">
        <x:v>NeedsHumanReview</x:v>
      </x:c>
      <x:c r="I29" s="43" t="str"/>
      <x:c r="J29" s="44" t="str"/>
      <x:c r="K29" s="43" t="str"/>
      <x:c r="L29" s="43" t="n">
        <x:f>IF(H29="HumanApprovedForPlanning",1,0)</x:f>
        <x:v>0</x:v>
      </x:c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3" t="str"/>
      <x:c r="B30" s="43" t="str"/>
      <x:c r="C30" s="43" t="str"/>
      <x:c r="D30" s="43" t="str"/>
      <x:c r="E30" s="43" t="str"/>
      <x:c r="F30" s="43" t="str"/>
      <x:c r="G30" s="43" t="str"/>
      <x:c r="H30" s="43" t="str">
        <x:v>NeedsHumanReview</x:v>
      </x:c>
      <x:c r="I30" s="43" t="str"/>
      <x:c r="J30" s="44" t="str"/>
      <x:c r="K30" s="43" t="str"/>
      <x:c r="L30" s="43" t="n">
        <x:f>IF(H30="HumanApprovedForPlanning",1,0)</x:f>
        <x:v>0</x:v>
      </x:c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3" t="str"/>
      <x:c r="B31" s="43" t="str"/>
      <x:c r="C31" s="43" t="str"/>
      <x:c r="D31" s="43" t="str"/>
      <x:c r="E31" s="43" t="str"/>
      <x:c r="F31" s="43" t="str"/>
      <x:c r="G31" s="43" t="str"/>
      <x:c r="H31" s="43" t="str">
        <x:v>NeedsHumanReview</x:v>
      </x:c>
      <x:c r="I31" s="43" t="str"/>
      <x:c r="J31" s="44" t="str"/>
      <x:c r="K31" s="43" t="str"/>
      <x:c r="L31" s="43" t="n">
        <x:f>IF(H31="HumanApprovedForPlanning",1,0)</x:f>
        <x:v>0</x:v>
      </x:c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3" t="str"/>
      <x:c r="B32" s="43" t="str"/>
      <x:c r="C32" s="43" t="str"/>
      <x:c r="D32" s="43" t="str"/>
      <x:c r="E32" s="43" t="str"/>
      <x:c r="F32" s="43" t="str"/>
      <x:c r="G32" s="43" t="str"/>
      <x:c r="H32" s="43" t="str">
        <x:v>NeedsHumanReview</x:v>
      </x:c>
      <x:c r="I32" s="43" t="str"/>
      <x:c r="J32" s="44" t="str"/>
      <x:c r="K32" s="43" t="str"/>
      <x:c r="L32" s="43" t="n">
        <x:f>IF(H32="HumanApprovedForPlanning",1,0)</x:f>
        <x:v>0</x:v>
      </x:c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3" t="str"/>
      <x:c r="B33" s="43" t="str"/>
      <x:c r="C33" s="43" t="str"/>
      <x:c r="D33" s="43" t="str"/>
      <x:c r="E33" s="43" t="str"/>
      <x:c r="F33" s="43" t="str"/>
      <x:c r="G33" s="43" t="str"/>
      <x:c r="H33" s="43" t="str">
        <x:v>NeedsHumanReview</x:v>
      </x:c>
      <x:c r="I33" s="43" t="str"/>
      <x:c r="J33" s="44" t="str"/>
      <x:c r="K33" s="43" t="str"/>
      <x:c r="L33" s="43" t="n">
        <x:f>IF(H33="HumanApprovedForPlanning",1,0)</x:f>
        <x:v>0</x:v>
      </x:c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3" t="str"/>
      <x:c r="B34" s="43" t="str"/>
      <x:c r="C34" s="43" t="str"/>
      <x:c r="D34" s="43" t="str"/>
      <x:c r="E34" s="43" t="str"/>
      <x:c r="F34" s="43" t="str"/>
      <x:c r="G34" s="43" t="str"/>
      <x:c r="H34" s="43" t="str">
        <x:v>NeedsHumanReview</x:v>
      </x:c>
      <x:c r="I34" s="43" t="str"/>
      <x:c r="J34" s="44" t="str"/>
      <x:c r="K34" s="43" t="str"/>
      <x:c r="L34" s="43" t="n">
        <x:f>IF(H34="HumanApprovedForPlanning",1,0)</x:f>
        <x:v>0</x:v>
      </x:c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L2"/>
  </x:mergeCells>
  <x:dataValidations count="1">
    <x:dataValidation type="list" sqref="H5:H34">
      <x:formula1>_Lists!$A$2:$A$5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551cbd9264405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58" hidden="0" customWidth="1"/>
    <x:col min="6" max="6" width="22" hidden="0" customWidth="1"/>
    <x:col min="7" max="7" width="22" hidden="0" customWidth="1"/>
    <x:col min="8" max="8" width="14" hidden="0" customWidth="1"/>
    <x:col min="9" max="9" width="16" hidden="0" customWidth="1"/>
    <x:col min="10" max="10" width="16" hidden="0" customWidth="1"/>
    <x:col min="11" max="11" width="24" hidden="0" customWidth="1"/>
    <x:col min="12" max="12" width="12" hidden="0" customWidth="1"/>
    <x:col min="13" max="13" width="15" hidden="0" customWidth="1"/>
    <x:col min="14" max="14" width="20" hidden="0" customWidth="1"/>
    <x:col min="15" max="15" width="20" hidden="0" customWidth="1"/>
  </x:cols>
  <x:sheetData>
    <x:row r="1">
      <x:c r="A1" s="40" t="str">
        <x:v>خطط العمل المحكومة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Plan Code</x:v>
      </x:c>
      <x:c r="B4" s="50" t="str">
        <x:v>Recommendation ID</x:v>
      </x:c>
      <x:c r="C4" s="50" t="str">
        <x:v>ME_ID</x:v>
      </x:c>
      <x:c r="D4" s="50" t="str">
        <x:v>Title</x:v>
      </x:c>
      <x:c r="E4" s="50" t="str">
        <x:v>Objective</x:v>
      </x:c>
      <x:c r="F4" s="50" t="str">
        <x:v>Owner Role</x:v>
      </x:c>
      <x:c r="G4" s="50" t="str">
        <x:v>Verifier Role</x:v>
      </x:c>
      <x:c r="H4" s="50" t="str">
        <x:v>Due Date</x:v>
      </x:c>
      <x:c r="I4" s="50" t="str">
        <x:v>Status</x:v>
      </x:c>
      <x:c r="J4" s="50" t="str">
        <x:v>Human Authorized</x:v>
      </x:c>
      <x:c r="K4" s="50" t="str">
        <x:v>Approval Review</x:v>
      </x:c>
      <x:c r="L4" s="50" t="str">
        <x:v>Tasks Total</x:v>
      </x:c>
      <x:c r="M4" s="50" t="str">
        <x:v>Tasks Completed</x:v>
      </x:c>
      <x:c r="N4" s="50" t="str">
        <x:v>Linked Finding</x:v>
      </x:c>
      <x:c r="O4" s="50" t="str">
        <x:v>Linked CAPA</x:v>
      </x:c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/>
      <x:c r="B5" s="43" t="str"/>
      <x:c r="C5" s="43" t="str"/>
      <x:c r="D5" s="43" t="str"/>
      <x:c r="E5" s="43" t="str"/>
      <x:c r="F5" s="43" t="str"/>
      <x:c r="G5" s="43" t="str">
        <x:v>CAPAVerifier</x:v>
      </x:c>
      <x:c r="H5" s="52" t="str"/>
      <x:c r="I5" s="43" t="str">
        <x:v>Draft</x:v>
      </x:c>
      <x:c r="J5" s="53" t="b">
        <x:v>0</x:v>
      </x:c>
      <x:c r="K5" s="43" t="str"/>
      <x:c r="L5" s="43" t="n">
        <x:v>0</x:v>
      </x:c>
      <x:c r="M5" s="43" t="n">
        <x:v>0</x:v>
      </x:c>
      <x:c r="N5" s="43" t="str"/>
      <x:c r="O5" s="43" t="str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 t="str"/>
      <x:c r="B6" s="43" t="str"/>
      <x:c r="C6" s="43" t="str"/>
      <x:c r="D6" s="43" t="str"/>
      <x:c r="E6" s="43" t="str"/>
      <x:c r="F6" s="43" t="str"/>
      <x:c r="G6" s="43" t="str">
        <x:v>CAPAVerifier</x:v>
      </x:c>
      <x:c r="H6" s="52" t="str"/>
      <x:c r="I6" s="43" t="str">
        <x:v>Draft</x:v>
      </x:c>
      <x:c r="J6" s="53" t="b">
        <x:v>0</x:v>
      </x:c>
      <x:c r="K6" s="43" t="str"/>
      <x:c r="L6" s="43" t="n">
        <x:v>0</x:v>
      </x:c>
      <x:c r="M6" s="43" t="n">
        <x:v>0</x:v>
      </x:c>
      <x:c r="N6" s="43" t="str"/>
      <x:c r="O6" s="43" t="str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 t="str"/>
      <x:c r="B7" s="43" t="str"/>
      <x:c r="C7" s="43" t="str"/>
      <x:c r="D7" s="43" t="str"/>
      <x:c r="E7" s="43" t="str"/>
      <x:c r="F7" s="43" t="str"/>
      <x:c r="G7" s="43" t="str">
        <x:v>CAPAVerifier</x:v>
      </x:c>
      <x:c r="H7" s="52" t="str"/>
      <x:c r="I7" s="43" t="str">
        <x:v>Draft</x:v>
      </x:c>
      <x:c r="J7" s="53" t="b">
        <x:v>0</x:v>
      </x:c>
      <x:c r="K7" s="43" t="str"/>
      <x:c r="L7" s="43" t="n">
        <x:v>0</x:v>
      </x:c>
      <x:c r="M7" s="43" t="n">
        <x:v>0</x:v>
      </x:c>
      <x:c r="N7" s="43" t="str"/>
      <x:c r="O7" s="43" t="str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 t="str"/>
      <x:c r="B8" s="43" t="str"/>
      <x:c r="C8" s="43" t="str"/>
      <x:c r="D8" s="43" t="str"/>
      <x:c r="E8" s="43" t="str"/>
      <x:c r="F8" s="43" t="str"/>
      <x:c r="G8" s="43" t="str">
        <x:v>CAPAVerifier</x:v>
      </x:c>
      <x:c r="H8" s="52" t="str"/>
      <x:c r="I8" s="43" t="str">
        <x:v>Draft</x:v>
      </x:c>
      <x:c r="J8" s="53" t="b">
        <x:v>0</x:v>
      </x:c>
      <x:c r="K8" s="43" t="str"/>
      <x:c r="L8" s="43" t="n">
        <x:v>0</x:v>
      </x:c>
      <x:c r="M8" s="43" t="n">
        <x:v>0</x:v>
      </x:c>
      <x:c r="N8" s="43" t="str"/>
      <x:c r="O8" s="43" t="str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 t="str"/>
      <x:c r="B9" s="43" t="str"/>
      <x:c r="C9" s="43" t="str"/>
      <x:c r="D9" s="43" t="str"/>
      <x:c r="E9" s="43" t="str"/>
      <x:c r="F9" s="43" t="str"/>
      <x:c r="G9" s="43" t="str">
        <x:v>CAPAVerifier</x:v>
      </x:c>
      <x:c r="H9" s="52" t="str"/>
      <x:c r="I9" s="43" t="str">
        <x:v>Draft</x:v>
      </x:c>
      <x:c r="J9" s="53" t="b">
        <x:v>0</x:v>
      </x:c>
      <x:c r="K9" s="43" t="str"/>
      <x:c r="L9" s="43" t="n">
        <x:v>0</x:v>
      </x:c>
      <x:c r="M9" s="43" t="n">
        <x:v>0</x:v>
      </x:c>
      <x:c r="N9" s="43" t="str"/>
      <x:c r="O9" s="43" t="str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 t="str"/>
      <x:c r="B10" s="43" t="str"/>
      <x:c r="C10" s="43" t="str"/>
      <x:c r="D10" s="43" t="str"/>
      <x:c r="E10" s="43" t="str"/>
      <x:c r="F10" s="43" t="str"/>
      <x:c r="G10" s="43" t="str">
        <x:v>CAPAVerifier</x:v>
      </x:c>
      <x:c r="H10" s="52" t="str"/>
      <x:c r="I10" s="43" t="str">
        <x:v>Draft</x:v>
      </x:c>
      <x:c r="J10" s="53" t="b">
        <x:v>0</x:v>
      </x:c>
      <x:c r="K10" s="43" t="str"/>
      <x:c r="L10" s="43" t="n">
        <x:v>0</x:v>
      </x:c>
      <x:c r="M10" s="43" t="n">
        <x:v>0</x:v>
      </x:c>
      <x:c r="N10" s="43" t="str"/>
      <x:c r="O10" s="43" t="str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 t="str"/>
      <x:c r="B11" s="43" t="str"/>
      <x:c r="C11" s="43" t="str"/>
      <x:c r="D11" s="43" t="str"/>
      <x:c r="E11" s="43" t="str"/>
      <x:c r="F11" s="43" t="str"/>
      <x:c r="G11" s="43" t="str">
        <x:v>CAPAVerifier</x:v>
      </x:c>
      <x:c r="H11" s="52" t="str"/>
      <x:c r="I11" s="43" t="str">
        <x:v>Draft</x:v>
      </x:c>
      <x:c r="J11" s="53" t="b">
        <x:v>0</x:v>
      </x:c>
      <x:c r="K11" s="43" t="str"/>
      <x:c r="L11" s="43" t="n">
        <x:v>0</x:v>
      </x:c>
      <x:c r="M11" s="43" t="n">
        <x:v>0</x:v>
      </x:c>
      <x:c r="N11" s="43" t="str"/>
      <x:c r="O11" s="43" t="str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 t="str"/>
      <x:c r="B12" s="43" t="str"/>
      <x:c r="C12" s="43" t="str"/>
      <x:c r="D12" s="43" t="str"/>
      <x:c r="E12" s="43" t="str"/>
      <x:c r="F12" s="43" t="str"/>
      <x:c r="G12" s="43" t="str">
        <x:v>CAPAVerifier</x:v>
      </x:c>
      <x:c r="H12" s="52" t="str"/>
      <x:c r="I12" s="43" t="str">
        <x:v>Draft</x:v>
      </x:c>
      <x:c r="J12" s="53" t="b">
        <x:v>0</x:v>
      </x:c>
      <x:c r="K12" s="43" t="str"/>
      <x:c r="L12" s="43" t="n">
        <x:v>0</x:v>
      </x:c>
      <x:c r="M12" s="43" t="n">
        <x:v>0</x:v>
      </x:c>
      <x:c r="N12" s="43" t="str"/>
      <x:c r="O12" s="43" t="str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 t="str"/>
      <x:c r="B13" s="43" t="str"/>
      <x:c r="C13" s="43" t="str"/>
      <x:c r="D13" s="43" t="str"/>
      <x:c r="E13" s="43" t="str"/>
      <x:c r="F13" s="43" t="str"/>
      <x:c r="G13" s="43" t="str">
        <x:v>CAPAVerifier</x:v>
      </x:c>
      <x:c r="H13" s="52" t="str"/>
      <x:c r="I13" s="43" t="str">
        <x:v>Draft</x:v>
      </x:c>
      <x:c r="J13" s="53" t="b">
        <x:v>0</x:v>
      </x:c>
      <x:c r="K13" s="43" t="str"/>
      <x:c r="L13" s="43" t="n">
        <x:v>0</x:v>
      </x:c>
      <x:c r="M13" s="43" t="n">
        <x:v>0</x:v>
      </x:c>
      <x:c r="N13" s="43" t="str"/>
      <x:c r="O13" s="43" t="str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 t="str"/>
      <x:c r="B14" s="43" t="str"/>
      <x:c r="C14" s="43" t="str"/>
      <x:c r="D14" s="43" t="str"/>
      <x:c r="E14" s="43" t="str"/>
      <x:c r="F14" s="43" t="str"/>
      <x:c r="G14" s="43" t="str">
        <x:v>CAPAVerifier</x:v>
      </x:c>
      <x:c r="H14" s="52" t="str"/>
      <x:c r="I14" s="43" t="str">
        <x:v>Draft</x:v>
      </x:c>
      <x:c r="J14" s="53" t="b">
        <x:v>0</x:v>
      </x:c>
      <x:c r="K14" s="43" t="str"/>
      <x:c r="L14" s="43" t="n">
        <x:v>0</x:v>
      </x:c>
      <x:c r="M14" s="43" t="n">
        <x:v>0</x:v>
      </x:c>
      <x:c r="N14" s="43" t="str"/>
      <x:c r="O14" s="43" t="str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 t="str"/>
      <x:c r="B15" s="43" t="str"/>
      <x:c r="C15" s="43" t="str"/>
      <x:c r="D15" s="43" t="str"/>
      <x:c r="E15" s="43" t="str"/>
      <x:c r="F15" s="43" t="str"/>
      <x:c r="G15" s="43" t="str">
        <x:v>CAPAVerifier</x:v>
      </x:c>
      <x:c r="H15" s="52" t="str"/>
      <x:c r="I15" s="43" t="str">
        <x:v>Draft</x:v>
      </x:c>
      <x:c r="J15" s="53" t="b">
        <x:v>0</x:v>
      </x:c>
      <x:c r="K15" s="43" t="str"/>
      <x:c r="L15" s="43" t="n">
        <x:v>0</x:v>
      </x:c>
      <x:c r="M15" s="43" t="n">
        <x:v>0</x:v>
      </x:c>
      <x:c r="N15" s="43" t="str"/>
      <x:c r="O15" s="43" t="str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 t="str"/>
      <x:c r="B16" s="43" t="str"/>
      <x:c r="C16" s="43" t="str"/>
      <x:c r="D16" s="43" t="str"/>
      <x:c r="E16" s="43" t="str"/>
      <x:c r="F16" s="43" t="str"/>
      <x:c r="G16" s="43" t="str">
        <x:v>CAPAVerifier</x:v>
      </x:c>
      <x:c r="H16" s="52" t="str"/>
      <x:c r="I16" s="43" t="str">
        <x:v>Draft</x:v>
      </x:c>
      <x:c r="J16" s="53" t="b">
        <x:v>0</x:v>
      </x:c>
      <x:c r="K16" s="43" t="str"/>
      <x:c r="L16" s="43" t="n">
        <x:v>0</x:v>
      </x:c>
      <x:c r="M16" s="43" t="n">
        <x:v>0</x:v>
      </x:c>
      <x:c r="N16" s="43" t="str"/>
      <x:c r="O16" s="43" t="str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 t="str"/>
      <x:c r="B17" s="43" t="str"/>
      <x:c r="C17" s="43" t="str"/>
      <x:c r="D17" s="43" t="str"/>
      <x:c r="E17" s="43" t="str"/>
      <x:c r="F17" s="43" t="str"/>
      <x:c r="G17" s="43" t="str">
        <x:v>CAPAVerifier</x:v>
      </x:c>
      <x:c r="H17" s="52" t="str"/>
      <x:c r="I17" s="43" t="str">
        <x:v>Draft</x:v>
      </x:c>
      <x:c r="J17" s="53" t="b">
        <x:v>0</x:v>
      </x:c>
      <x:c r="K17" s="43" t="str"/>
      <x:c r="L17" s="43" t="n">
        <x:v>0</x:v>
      </x:c>
      <x:c r="M17" s="43" t="n">
        <x:v>0</x:v>
      </x:c>
      <x:c r="N17" s="43" t="str"/>
      <x:c r="O17" s="43" t="str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 t="str"/>
      <x:c r="B18" s="43" t="str"/>
      <x:c r="C18" s="43" t="str"/>
      <x:c r="D18" s="43" t="str"/>
      <x:c r="E18" s="43" t="str"/>
      <x:c r="F18" s="43" t="str"/>
      <x:c r="G18" s="43" t="str">
        <x:v>CAPAVerifier</x:v>
      </x:c>
      <x:c r="H18" s="52" t="str"/>
      <x:c r="I18" s="43" t="str">
        <x:v>Draft</x:v>
      </x:c>
      <x:c r="J18" s="53" t="b">
        <x:v>0</x:v>
      </x:c>
      <x:c r="K18" s="43" t="str"/>
      <x:c r="L18" s="43" t="n">
        <x:v>0</x:v>
      </x:c>
      <x:c r="M18" s="43" t="n">
        <x:v>0</x:v>
      </x:c>
      <x:c r="N18" s="43" t="str"/>
      <x:c r="O18" s="43" t="str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 t="str"/>
      <x:c r="B19" s="43" t="str"/>
      <x:c r="C19" s="43" t="str"/>
      <x:c r="D19" s="43" t="str"/>
      <x:c r="E19" s="43" t="str"/>
      <x:c r="F19" s="43" t="str"/>
      <x:c r="G19" s="43" t="str">
        <x:v>CAPAVerifier</x:v>
      </x:c>
      <x:c r="H19" s="52" t="str"/>
      <x:c r="I19" s="43" t="str">
        <x:v>Draft</x:v>
      </x:c>
      <x:c r="J19" s="53" t="b">
        <x:v>0</x:v>
      </x:c>
      <x:c r="K19" s="43" t="str"/>
      <x:c r="L19" s="43" t="n">
        <x:v>0</x:v>
      </x:c>
      <x:c r="M19" s="43" t="n">
        <x:v>0</x:v>
      </x:c>
      <x:c r="N19" s="43" t="str"/>
      <x:c r="O19" s="43" t="str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 t="str"/>
      <x:c r="B20" s="43" t="str"/>
      <x:c r="C20" s="43" t="str"/>
      <x:c r="D20" s="43" t="str"/>
      <x:c r="E20" s="43" t="str"/>
      <x:c r="F20" s="43" t="str"/>
      <x:c r="G20" s="43" t="str">
        <x:v>CAPAVerifier</x:v>
      </x:c>
      <x:c r="H20" s="52" t="str"/>
      <x:c r="I20" s="43" t="str">
        <x:v>Draft</x:v>
      </x:c>
      <x:c r="J20" s="53" t="b">
        <x:v>0</x:v>
      </x:c>
      <x:c r="K20" s="43" t="str"/>
      <x:c r="L20" s="43" t="n">
        <x:v>0</x:v>
      </x:c>
      <x:c r="M20" s="43" t="n">
        <x:v>0</x:v>
      </x:c>
      <x:c r="N20" s="43" t="str"/>
      <x:c r="O20" s="43" t="str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 t="str"/>
      <x:c r="B21" s="43" t="str"/>
      <x:c r="C21" s="43" t="str"/>
      <x:c r="D21" s="43" t="str"/>
      <x:c r="E21" s="43" t="str"/>
      <x:c r="F21" s="43" t="str"/>
      <x:c r="G21" s="43" t="str">
        <x:v>CAPAVerifier</x:v>
      </x:c>
      <x:c r="H21" s="52" t="str"/>
      <x:c r="I21" s="43" t="str">
        <x:v>Draft</x:v>
      </x:c>
      <x:c r="J21" s="53" t="b">
        <x:v>0</x:v>
      </x:c>
      <x:c r="K21" s="43" t="str"/>
      <x:c r="L21" s="43" t="n">
        <x:v>0</x:v>
      </x:c>
      <x:c r="M21" s="43" t="n">
        <x:v>0</x:v>
      </x:c>
      <x:c r="N21" s="43" t="str"/>
      <x:c r="O21" s="43" t="str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 t="str"/>
      <x:c r="B22" s="43" t="str"/>
      <x:c r="C22" s="43" t="str"/>
      <x:c r="D22" s="43" t="str"/>
      <x:c r="E22" s="43" t="str"/>
      <x:c r="F22" s="43" t="str"/>
      <x:c r="G22" s="43" t="str">
        <x:v>CAPAVerifier</x:v>
      </x:c>
      <x:c r="H22" s="52" t="str"/>
      <x:c r="I22" s="43" t="str">
        <x:v>Draft</x:v>
      </x:c>
      <x:c r="J22" s="53" t="b">
        <x:v>0</x:v>
      </x:c>
      <x:c r="K22" s="43" t="str"/>
      <x:c r="L22" s="43" t="n">
        <x:v>0</x:v>
      </x:c>
      <x:c r="M22" s="43" t="n">
        <x:v>0</x:v>
      </x:c>
      <x:c r="N22" s="43" t="str"/>
      <x:c r="O22" s="43" t="str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 t="str"/>
      <x:c r="B23" s="43" t="str"/>
      <x:c r="C23" s="43" t="str"/>
      <x:c r="D23" s="43" t="str"/>
      <x:c r="E23" s="43" t="str"/>
      <x:c r="F23" s="43" t="str"/>
      <x:c r="G23" s="43" t="str">
        <x:v>CAPAVerifier</x:v>
      </x:c>
      <x:c r="H23" s="52" t="str"/>
      <x:c r="I23" s="43" t="str">
        <x:v>Draft</x:v>
      </x:c>
      <x:c r="J23" s="53" t="b">
        <x:v>0</x:v>
      </x:c>
      <x:c r="K23" s="43" t="str"/>
      <x:c r="L23" s="43" t="n">
        <x:v>0</x:v>
      </x:c>
      <x:c r="M23" s="43" t="n">
        <x:v>0</x:v>
      </x:c>
      <x:c r="N23" s="43" t="str"/>
      <x:c r="O23" s="43" t="str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 t="str"/>
      <x:c r="B24" s="43" t="str"/>
      <x:c r="C24" s="43" t="str"/>
      <x:c r="D24" s="43" t="str"/>
      <x:c r="E24" s="43" t="str"/>
      <x:c r="F24" s="43" t="str"/>
      <x:c r="G24" s="43" t="str">
        <x:v>CAPAVerifier</x:v>
      </x:c>
      <x:c r="H24" s="52" t="str"/>
      <x:c r="I24" s="43" t="str">
        <x:v>Draft</x:v>
      </x:c>
      <x:c r="J24" s="53" t="b">
        <x:v>0</x:v>
      </x:c>
      <x:c r="K24" s="43" t="str"/>
      <x:c r="L24" s="43" t="n">
        <x:v>0</x:v>
      </x:c>
      <x:c r="M24" s="43" t="n">
        <x:v>0</x:v>
      </x:c>
      <x:c r="N24" s="43" t="str"/>
      <x:c r="O24" s="43" t="str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3" t="str"/>
      <x:c r="B25" s="43" t="str"/>
      <x:c r="C25" s="43" t="str"/>
      <x:c r="D25" s="43" t="str"/>
      <x:c r="E25" s="43" t="str"/>
      <x:c r="F25" s="43" t="str"/>
      <x:c r="G25" s="43" t="str">
        <x:v>CAPAVerifier</x:v>
      </x:c>
      <x:c r="H25" s="52" t="str"/>
      <x:c r="I25" s="43" t="str">
        <x:v>Draft</x:v>
      </x:c>
      <x:c r="J25" s="53" t="b">
        <x:v>0</x:v>
      </x:c>
      <x:c r="K25" s="43" t="str"/>
      <x:c r="L25" s="43" t="n">
        <x:v>0</x:v>
      </x:c>
      <x:c r="M25" s="43" t="n">
        <x:v>0</x:v>
      </x:c>
      <x:c r="N25" s="43" t="str"/>
      <x:c r="O25" s="43" t="str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3" t="str"/>
      <x:c r="B26" s="43" t="str"/>
      <x:c r="C26" s="43" t="str"/>
      <x:c r="D26" s="43" t="str"/>
      <x:c r="E26" s="43" t="str"/>
      <x:c r="F26" s="43" t="str"/>
      <x:c r="G26" s="43" t="str">
        <x:v>CAPAVerifier</x:v>
      </x:c>
      <x:c r="H26" s="52" t="str"/>
      <x:c r="I26" s="43" t="str">
        <x:v>Draft</x:v>
      </x:c>
      <x:c r="J26" s="53" t="b">
        <x:v>0</x:v>
      </x:c>
      <x:c r="K26" s="43" t="str"/>
      <x:c r="L26" s="43" t="n">
        <x:v>0</x:v>
      </x:c>
      <x:c r="M26" s="43" t="n">
        <x:v>0</x:v>
      </x:c>
      <x:c r="N26" s="43" t="str"/>
      <x:c r="O26" s="43" t="str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3" t="str"/>
      <x:c r="B27" s="43" t="str"/>
      <x:c r="C27" s="43" t="str"/>
      <x:c r="D27" s="43" t="str"/>
      <x:c r="E27" s="43" t="str"/>
      <x:c r="F27" s="43" t="str"/>
      <x:c r="G27" s="43" t="str">
        <x:v>CAPAVerifier</x:v>
      </x:c>
      <x:c r="H27" s="52" t="str"/>
      <x:c r="I27" s="43" t="str">
        <x:v>Draft</x:v>
      </x:c>
      <x:c r="J27" s="53" t="b">
        <x:v>0</x:v>
      </x:c>
      <x:c r="K27" s="43" t="str"/>
      <x:c r="L27" s="43" t="n">
        <x:v>0</x:v>
      </x:c>
      <x:c r="M27" s="43" t="n">
        <x:v>0</x:v>
      </x:c>
      <x:c r="N27" s="43" t="str"/>
      <x:c r="O27" s="43" t="str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3" t="str"/>
      <x:c r="B28" s="43" t="str"/>
      <x:c r="C28" s="43" t="str"/>
      <x:c r="D28" s="43" t="str"/>
      <x:c r="E28" s="43" t="str"/>
      <x:c r="F28" s="43" t="str"/>
      <x:c r="G28" s="43" t="str">
        <x:v>CAPAVerifier</x:v>
      </x:c>
      <x:c r="H28" s="52" t="str"/>
      <x:c r="I28" s="43" t="str">
        <x:v>Draft</x:v>
      </x:c>
      <x:c r="J28" s="53" t="b">
        <x:v>0</x:v>
      </x:c>
      <x:c r="K28" s="43" t="str"/>
      <x:c r="L28" s="43" t="n">
        <x:v>0</x:v>
      </x:c>
      <x:c r="M28" s="43" t="n">
        <x:v>0</x:v>
      </x:c>
      <x:c r="N28" s="43" t="str"/>
      <x:c r="O28" s="43" t="str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3" t="str"/>
      <x:c r="B29" s="43" t="str"/>
      <x:c r="C29" s="43" t="str"/>
      <x:c r="D29" s="43" t="str"/>
      <x:c r="E29" s="43" t="str"/>
      <x:c r="F29" s="43" t="str"/>
      <x:c r="G29" s="43" t="str">
        <x:v>CAPAVerifier</x:v>
      </x:c>
      <x:c r="H29" s="52" t="str"/>
      <x:c r="I29" s="43" t="str">
        <x:v>Draft</x:v>
      </x:c>
      <x:c r="J29" s="53" t="b">
        <x:v>0</x:v>
      </x:c>
      <x:c r="K29" s="43" t="str"/>
      <x:c r="L29" s="43" t="n">
        <x:v>0</x:v>
      </x:c>
      <x:c r="M29" s="43" t="n">
        <x:v>0</x:v>
      </x:c>
      <x:c r="N29" s="43" t="str"/>
      <x:c r="O29" s="43" t="str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3" t="str"/>
      <x:c r="B30" s="43" t="str"/>
      <x:c r="C30" s="43" t="str"/>
      <x:c r="D30" s="43" t="str"/>
      <x:c r="E30" s="43" t="str"/>
      <x:c r="F30" s="43" t="str"/>
      <x:c r="G30" s="43" t="str">
        <x:v>CAPAVerifier</x:v>
      </x:c>
      <x:c r="H30" s="52" t="str"/>
      <x:c r="I30" s="43" t="str">
        <x:v>Draft</x:v>
      </x:c>
      <x:c r="J30" s="53" t="b">
        <x:v>0</x:v>
      </x:c>
      <x:c r="K30" s="43" t="str"/>
      <x:c r="L30" s="43" t="n">
        <x:v>0</x:v>
      </x:c>
      <x:c r="M30" s="43" t="n">
        <x:v>0</x:v>
      </x:c>
      <x:c r="N30" s="43" t="str"/>
      <x:c r="O30" s="43" t="str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3" t="str"/>
      <x:c r="B31" s="43" t="str"/>
      <x:c r="C31" s="43" t="str"/>
      <x:c r="D31" s="43" t="str"/>
      <x:c r="E31" s="43" t="str"/>
      <x:c r="F31" s="43" t="str"/>
      <x:c r="G31" s="43" t="str">
        <x:v>CAPAVerifier</x:v>
      </x:c>
      <x:c r="H31" s="52" t="str"/>
      <x:c r="I31" s="43" t="str">
        <x:v>Draft</x:v>
      </x:c>
      <x:c r="J31" s="53" t="b">
        <x:v>0</x:v>
      </x:c>
      <x:c r="K31" s="43" t="str"/>
      <x:c r="L31" s="43" t="n">
        <x:v>0</x:v>
      </x:c>
      <x:c r="M31" s="43" t="n">
        <x:v>0</x:v>
      </x:c>
      <x:c r="N31" s="43" t="str"/>
      <x:c r="O31" s="43" t="str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3" t="str"/>
      <x:c r="B32" s="43" t="str"/>
      <x:c r="C32" s="43" t="str"/>
      <x:c r="D32" s="43" t="str"/>
      <x:c r="E32" s="43" t="str"/>
      <x:c r="F32" s="43" t="str"/>
      <x:c r="G32" s="43" t="str">
        <x:v>CAPAVerifier</x:v>
      </x:c>
      <x:c r="H32" s="52" t="str"/>
      <x:c r="I32" s="43" t="str">
        <x:v>Draft</x:v>
      </x:c>
      <x:c r="J32" s="53" t="b">
        <x:v>0</x:v>
      </x:c>
      <x:c r="K32" s="43" t="str"/>
      <x:c r="L32" s="43" t="n">
        <x:v>0</x:v>
      </x:c>
      <x:c r="M32" s="43" t="n">
        <x:v>0</x:v>
      </x:c>
      <x:c r="N32" s="43" t="str"/>
      <x:c r="O32" s="43" t="str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3" t="str"/>
      <x:c r="B33" s="43" t="str"/>
      <x:c r="C33" s="43" t="str"/>
      <x:c r="D33" s="43" t="str"/>
      <x:c r="E33" s="43" t="str"/>
      <x:c r="F33" s="43" t="str"/>
      <x:c r="G33" s="43" t="str">
        <x:v>CAPAVerifier</x:v>
      </x:c>
      <x:c r="H33" s="52" t="str"/>
      <x:c r="I33" s="43" t="str">
        <x:v>Draft</x:v>
      </x:c>
      <x:c r="J33" s="53" t="b">
        <x:v>0</x:v>
      </x:c>
      <x:c r="K33" s="43" t="str"/>
      <x:c r="L33" s="43" t="n">
        <x:v>0</x:v>
      </x:c>
      <x:c r="M33" s="43" t="n">
        <x:v>0</x:v>
      </x:c>
      <x:c r="N33" s="43" t="str"/>
      <x:c r="O33" s="43" t="str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3" t="str"/>
      <x:c r="B34" s="43" t="str"/>
      <x:c r="C34" s="43" t="str"/>
      <x:c r="D34" s="43" t="str"/>
      <x:c r="E34" s="43" t="str"/>
      <x:c r="F34" s="43" t="str"/>
      <x:c r="G34" s="43" t="str">
        <x:v>CAPAVerifier</x:v>
      </x:c>
      <x:c r="H34" s="52" t="str"/>
      <x:c r="I34" s="43" t="str">
        <x:v>Draft</x:v>
      </x:c>
      <x:c r="J34" s="53" t="b">
        <x:v>0</x:v>
      </x:c>
      <x:c r="K34" s="43" t="str"/>
      <x:c r="L34" s="43" t="n">
        <x:v>0</x:v>
      </x:c>
      <x:c r="M34" s="43" t="n">
        <x:v>0</x:v>
      </x:c>
      <x:c r="N34" s="43" t="str"/>
      <x:c r="O34" s="43" t="str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O2"/>
  </x:mergeCells>
  <x:dataValidations count="1">
    <x:dataValidation type="list" sqref="I5:I34">
      <x:formula1>_Lists!$C$2:$C$9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379fc8c5dd4ad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58" hidden="0" customWidth="1"/>
    <x:col min="4" max="4" width="22" hidden="0" customWidth="1"/>
    <x:col min="5" max="5" width="14" hidden="0" customWidth="1"/>
    <x:col min="6" max="6" width="14" hidden="0" customWidth="1"/>
    <x:col min="7" max="7" width="32" hidden="0" customWidth="1"/>
    <x:col min="8" max="8" width="45" hidden="0" customWidth="1"/>
    <x:col min="9" max="9" width="24" hidden="0" customWidth="1"/>
    <x:col min="10" max="10" width="20" hidden="0" customWidth="1"/>
    <x:col min="11" max="11" width="12" hidden="0" customWidth="1"/>
    <x:col min="12" max="12" width="12" hidden="0" customWidth="1"/>
  </x:cols>
  <x:sheetData>
    <x:row r="1">
      <x:c r="A1" s="40" t="str">
        <x:v>مهام خطط العمل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Plan Code</x:v>
      </x:c>
      <x:c r="B4" s="50" t="str">
        <x:v>Sequence</x:v>
      </x:c>
      <x:c r="C4" s="50" t="str">
        <x:v>Action</x:v>
      </x:c>
      <x:c r="D4" s="50" t="str">
        <x:v>Owner Role</x:v>
      </x:c>
      <x:c r="E4" s="50" t="str">
        <x:v>Due Date</x:v>
      </x:c>
      <x:c r="F4" s="50" t="str">
        <x:v>Status</x:v>
      </x:c>
      <x:c r="G4" s="50" t="str">
        <x:v>Evidence Reference</x:v>
      </x:c>
      <x:c r="H4" s="50" t="str">
        <x:v>Completion Note</x:v>
      </x:c>
      <x:c r="I4" s="50" t="str">
        <x:v>Completed By</x:v>
      </x:c>
      <x:c r="J4" s="50" t="str">
        <x:v>Completed Date</x:v>
      </x:c>
      <x:c r="K4" s="50" t="str">
        <x:v>Ready Flag</x:v>
      </x:c>
      <x:c r="L4" s="50" t="str">
        <x:v>Overdue Flag</x:v>
      </x:c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/>
      <x:c r="B5" s="43" t="n">
        <x:v>1</x:v>
      </x:c>
      <x:c r="C5" s="43" t="str"/>
      <x:c r="D5" s="43" t="str"/>
      <x:c r="E5" s="52" t="str"/>
      <x:c r="F5" s="43" t="str">
        <x:v>Open</x:v>
      </x:c>
      <x:c r="G5" s="43" t="str"/>
      <x:c r="H5" s="43" t="str"/>
      <x:c r="I5" s="43" t="str"/>
      <x:c r="J5" s="44" t="str"/>
      <x:c r="K5" s="43" t="n">
        <x:f>IF(AND(A5&lt;&gt;"",F5="Completed",G5&lt;&gt;"",H5&lt;&gt;"",I5&lt;&gt;"",J5&lt;&gt;""),1,0)</x:f>
        <x:v>0</x:v>
      </x:c>
      <x:c r="L5" s="43" t="n">
        <x:f>IF(AND(A5&lt;&gt;"",E5&lt;TODAY(),F5&lt;&gt;"Completed",F5&lt;&gt;"Cancelled"),1,0)</x:f>
        <x:v>0</x:v>
      </x:c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 t="str"/>
      <x:c r="B6" s="43" t="n">
        <x:v>2</x:v>
      </x:c>
      <x:c r="C6" s="43" t="str"/>
      <x:c r="D6" s="43" t="str"/>
      <x:c r="E6" s="52" t="str"/>
      <x:c r="F6" s="43" t="str">
        <x:v>Open</x:v>
      </x:c>
      <x:c r="G6" s="43" t="str"/>
      <x:c r="H6" s="43" t="str"/>
      <x:c r="I6" s="43" t="str"/>
      <x:c r="J6" s="44" t="str"/>
      <x:c r="K6" s="43" t="n">
        <x:f>IF(AND(A6&lt;&gt;"",F6="Completed",G6&lt;&gt;"",H6&lt;&gt;"",I6&lt;&gt;"",J6&lt;&gt;""),1,0)</x:f>
        <x:v>0</x:v>
      </x:c>
      <x:c r="L6" s="43" t="n">
        <x:f>IF(AND(A6&lt;&gt;"",E6&lt;TODAY(),F6&lt;&gt;"Completed",F6&lt;&gt;"Cancelled"),1,0)</x:f>
        <x:v>0</x:v>
      </x:c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 t="str"/>
      <x:c r="B7" s="43" t="n">
        <x:v>3</x:v>
      </x:c>
      <x:c r="C7" s="43" t="str"/>
      <x:c r="D7" s="43" t="str"/>
      <x:c r="E7" s="52" t="str"/>
      <x:c r="F7" s="43" t="str">
        <x:v>Open</x:v>
      </x:c>
      <x:c r="G7" s="43" t="str"/>
      <x:c r="H7" s="43" t="str"/>
      <x:c r="I7" s="43" t="str"/>
      <x:c r="J7" s="44" t="str"/>
      <x:c r="K7" s="43" t="n">
        <x:f>IF(AND(A7&lt;&gt;"",F7="Completed",G7&lt;&gt;"",H7&lt;&gt;"",I7&lt;&gt;"",J7&lt;&gt;""),1,0)</x:f>
        <x:v>0</x:v>
      </x:c>
      <x:c r="L7" s="43" t="n">
        <x:f>IF(AND(A7&lt;&gt;"",E7&lt;TODAY(),F7&lt;&gt;"Completed",F7&lt;&gt;"Cancelled"),1,0)</x:f>
        <x:v>0</x:v>
      </x:c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 t="str"/>
      <x:c r="B8" s="43" t="n">
        <x:v>4</x:v>
      </x:c>
      <x:c r="C8" s="43" t="str"/>
      <x:c r="D8" s="43" t="str"/>
      <x:c r="E8" s="52" t="str"/>
      <x:c r="F8" s="43" t="str">
        <x:v>Open</x:v>
      </x:c>
      <x:c r="G8" s="43" t="str"/>
      <x:c r="H8" s="43" t="str"/>
      <x:c r="I8" s="43" t="str"/>
      <x:c r="J8" s="44" t="str"/>
      <x:c r="K8" s="43" t="n">
        <x:f>IF(AND(A8&lt;&gt;"",F8="Completed",G8&lt;&gt;"",H8&lt;&gt;"",I8&lt;&gt;"",J8&lt;&gt;""),1,0)</x:f>
        <x:v>0</x:v>
      </x:c>
      <x:c r="L8" s="43" t="n">
        <x:f>IF(AND(A8&lt;&gt;"",E8&lt;TODAY(),F8&lt;&gt;"Completed",F8&lt;&gt;"Cancelled"),1,0)</x:f>
        <x:v>0</x:v>
      </x:c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 t="str"/>
      <x:c r="B9" s="43" t="n">
        <x:v>5</x:v>
      </x:c>
      <x:c r="C9" s="43" t="str"/>
      <x:c r="D9" s="43" t="str"/>
      <x:c r="E9" s="52" t="str"/>
      <x:c r="F9" s="43" t="str">
        <x:v>Open</x:v>
      </x:c>
      <x:c r="G9" s="43" t="str"/>
      <x:c r="H9" s="43" t="str"/>
      <x:c r="I9" s="43" t="str"/>
      <x:c r="J9" s="44" t="str"/>
      <x:c r="K9" s="43" t="n">
        <x:f>IF(AND(A9&lt;&gt;"",F9="Completed",G9&lt;&gt;"",H9&lt;&gt;"",I9&lt;&gt;"",J9&lt;&gt;""),1,0)</x:f>
        <x:v>0</x:v>
      </x:c>
      <x:c r="L9" s="43" t="n">
        <x:f>IF(AND(A9&lt;&gt;"",E9&lt;TODAY(),F9&lt;&gt;"Completed",F9&lt;&gt;"Cancelled"),1,0)</x:f>
        <x:v>0</x:v>
      </x:c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 t="str"/>
      <x:c r="B10" s="43" t="n">
        <x:v>6</x:v>
      </x:c>
      <x:c r="C10" s="43" t="str"/>
      <x:c r="D10" s="43" t="str"/>
      <x:c r="E10" s="52" t="str"/>
      <x:c r="F10" s="43" t="str">
        <x:v>Open</x:v>
      </x:c>
      <x:c r="G10" s="43" t="str"/>
      <x:c r="H10" s="43" t="str"/>
      <x:c r="I10" s="43" t="str"/>
      <x:c r="J10" s="44" t="str"/>
      <x:c r="K10" s="43" t="n">
        <x:f>IF(AND(A10&lt;&gt;"",F10="Completed",G10&lt;&gt;"",H10&lt;&gt;"",I10&lt;&gt;"",J10&lt;&gt;""),1,0)</x:f>
        <x:v>0</x:v>
      </x:c>
      <x:c r="L10" s="43" t="n">
        <x:f>IF(AND(A10&lt;&gt;"",E10&lt;TODAY(),F10&lt;&gt;"Completed",F10&lt;&gt;"Cancelled"),1,0)</x:f>
        <x:v>0</x:v>
      </x:c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 t="str"/>
      <x:c r="B11" s="43" t="n">
        <x:v>7</x:v>
      </x:c>
      <x:c r="C11" s="43" t="str"/>
      <x:c r="D11" s="43" t="str"/>
      <x:c r="E11" s="52" t="str"/>
      <x:c r="F11" s="43" t="str">
        <x:v>Open</x:v>
      </x:c>
      <x:c r="G11" s="43" t="str"/>
      <x:c r="H11" s="43" t="str"/>
      <x:c r="I11" s="43" t="str"/>
      <x:c r="J11" s="44" t="str"/>
      <x:c r="K11" s="43" t="n">
        <x:f>IF(AND(A11&lt;&gt;"",F11="Completed",G11&lt;&gt;"",H11&lt;&gt;"",I11&lt;&gt;"",J11&lt;&gt;""),1,0)</x:f>
        <x:v>0</x:v>
      </x:c>
      <x:c r="L11" s="43" t="n">
        <x:f>IF(AND(A11&lt;&gt;"",E11&lt;TODAY(),F11&lt;&gt;"Completed",F11&lt;&gt;"Cancelled"),1,0)</x:f>
        <x:v>0</x:v>
      </x:c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 t="str"/>
      <x:c r="B12" s="43" t="n">
        <x:v>8</x:v>
      </x:c>
      <x:c r="C12" s="43" t="str"/>
      <x:c r="D12" s="43" t="str"/>
      <x:c r="E12" s="52" t="str"/>
      <x:c r="F12" s="43" t="str">
        <x:v>Open</x:v>
      </x:c>
      <x:c r="G12" s="43" t="str"/>
      <x:c r="H12" s="43" t="str"/>
      <x:c r="I12" s="43" t="str"/>
      <x:c r="J12" s="44" t="str"/>
      <x:c r="K12" s="43" t="n">
        <x:f>IF(AND(A12&lt;&gt;"",F12="Completed",G12&lt;&gt;"",H12&lt;&gt;"",I12&lt;&gt;"",J12&lt;&gt;""),1,0)</x:f>
        <x:v>0</x:v>
      </x:c>
      <x:c r="L12" s="43" t="n">
        <x:f>IF(AND(A12&lt;&gt;"",E12&lt;TODAY(),F12&lt;&gt;"Completed",F12&lt;&gt;"Cancelled"),1,0)</x:f>
        <x:v>0</x:v>
      </x:c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 t="str"/>
      <x:c r="B13" s="43" t="n">
        <x:v>9</x:v>
      </x:c>
      <x:c r="C13" s="43" t="str"/>
      <x:c r="D13" s="43" t="str"/>
      <x:c r="E13" s="52" t="str"/>
      <x:c r="F13" s="43" t="str">
        <x:v>Open</x:v>
      </x:c>
      <x:c r="G13" s="43" t="str"/>
      <x:c r="H13" s="43" t="str"/>
      <x:c r="I13" s="43" t="str"/>
      <x:c r="J13" s="44" t="str"/>
      <x:c r="K13" s="43" t="n">
        <x:f>IF(AND(A13&lt;&gt;"",F13="Completed",G13&lt;&gt;"",H13&lt;&gt;"",I13&lt;&gt;"",J13&lt;&gt;""),1,0)</x:f>
        <x:v>0</x:v>
      </x:c>
      <x:c r="L13" s="43" t="n">
        <x:f>IF(AND(A13&lt;&gt;"",E13&lt;TODAY(),F13&lt;&gt;"Completed",F13&lt;&gt;"Cancelled"),1,0)</x:f>
        <x:v>0</x:v>
      </x:c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 t="str"/>
      <x:c r="B14" s="43" t="n">
        <x:v>10</x:v>
      </x:c>
      <x:c r="C14" s="43" t="str"/>
      <x:c r="D14" s="43" t="str"/>
      <x:c r="E14" s="52" t="str"/>
      <x:c r="F14" s="43" t="str">
        <x:v>Open</x:v>
      </x:c>
      <x:c r="G14" s="43" t="str"/>
      <x:c r="H14" s="43" t="str"/>
      <x:c r="I14" s="43" t="str"/>
      <x:c r="J14" s="44" t="str"/>
      <x:c r="K14" s="43" t="n">
        <x:f>IF(AND(A14&lt;&gt;"",F14="Completed",G14&lt;&gt;"",H14&lt;&gt;"",I14&lt;&gt;"",J14&lt;&gt;""),1,0)</x:f>
        <x:v>0</x:v>
      </x:c>
      <x:c r="L14" s="43" t="n">
        <x:f>IF(AND(A14&lt;&gt;"",E14&lt;TODAY(),F14&lt;&gt;"Completed",F14&lt;&gt;"Cancelled"),1,0)</x:f>
        <x:v>0</x:v>
      </x:c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 t="str"/>
      <x:c r="B15" s="43" t="n">
        <x:v>11</x:v>
      </x:c>
      <x:c r="C15" s="43" t="str"/>
      <x:c r="D15" s="43" t="str"/>
      <x:c r="E15" s="52" t="str"/>
      <x:c r="F15" s="43" t="str">
        <x:v>Open</x:v>
      </x:c>
      <x:c r="G15" s="43" t="str"/>
      <x:c r="H15" s="43" t="str"/>
      <x:c r="I15" s="43" t="str"/>
      <x:c r="J15" s="44" t="str"/>
      <x:c r="K15" s="43" t="n">
        <x:f>IF(AND(A15&lt;&gt;"",F15="Completed",G15&lt;&gt;"",H15&lt;&gt;"",I15&lt;&gt;"",J15&lt;&gt;""),1,0)</x:f>
        <x:v>0</x:v>
      </x:c>
      <x:c r="L15" s="43" t="n">
        <x:f>IF(AND(A15&lt;&gt;"",E15&lt;TODAY(),F15&lt;&gt;"Completed",F15&lt;&gt;"Cancelled"),1,0)</x:f>
        <x:v>0</x:v>
      </x:c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 t="str"/>
      <x:c r="B16" s="43" t="n">
        <x:v>12</x:v>
      </x:c>
      <x:c r="C16" s="43" t="str"/>
      <x:c r="D16" s="43" t="str"/>
      <x:c r="E16" s="52" t="str"/>
      <x:c r="F16" s="43" t="str">
        <x:v>Open</x:v>
      </x:c>
      <x:c r="G16" s="43" t="str"/>
      <x:c r="H16" s="43" t="str"/>
      <x:c r="I16" s="43" t="str"/>
      <x:c r="J16" s="44" t="str"/>
      <x:c r="K16" s="43" t="n">
        <x:f>IF(AND(A16&lt;&gt;"",F16="Completed",G16&lt;&gt;"",H16&lt;&gt;"",I16&lt;&gt;"",J16&lt;&gt;""),1,0)</x:f>
        <x:v>0</x:v>
      </x:c>
      <x:c r="L16" s="43" t="n">
        <x:f>IF(AND(A16&lt;&gt;"",E16&lt;TODAY(),F16&lt;&gt;"Completed",F16&lt;&gt;"Cancelled"),1,0)</x:f>
        <x:v>0</x:v>
      </x:c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 t="str"/>
      <x:c r="B17" s="43" t="n">
        <x:v>13</x:v>
      </x:c>
      <x:c r="C17" s="43" t="str"/>
      <x:c r="D17" s="43" t="str"/>
      <x:c r="E17" s="52" t="str"/>
      <x:c r="F17" s="43" t="str">
        <x:v>Open</x:v>
      </x:c>
      <x:c r="G17" s="43" t="str"/>
      <x:c r="H17" s="43" t="str"/>
      <x:c r="I17" s="43" t="str"/>
      <x:c r="J17" s="44" t="str"/>
      <x:c r="K17" s="43" t="n">
        <x:f>IF(AND(A17&lt;&gt;"",F17="Completed",G17&lt;&gt;"",H17&lt;&gt;"",I17&lt;&gt;"",J17&lt;&gt;""),1,0)</x:f>
        <x:v>0</x:v>
      </x:c>
      <x:c r="L17" s="43" t="n">
        <x:f>IF(AND(A17&lt;&gt;"",E17&lt;TODAY(),F17&lt;&gt;"Completed",F17&lt;&gt;"Cancelled"),1,0)</x:f>
        <x:v>0</x:v>
      </x:c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 t="str"/>
      <x:c r="B18" s="43" t="n">
        <x:v>14</x:v>
      </x:c>
      <x:c r="C18" s="43" t="str"/>
      <x:c r="D18" s="43" t="str"/>
      <x:c r="E18" s="52" t="str"/>
      <x:c r="F18" s="43" t="str">
        <x:v>Open</x:v>
      </x:c>
      <x:c r="G18" s="43" t="str"/>
      <x:c r="H18" s="43" t="str"/>
      <x:c r="I18" s="43" t="str"/>
      <x:c r="J18" s="44" t="str"/>
      <x:c r="K18" s="43" t="n">
        <x:f>IF(AND(A18&lt;&gt;"",F18="Completed",G18&lt;&gt;"",H18&lt;&gt;"",I18&lt;&gt;"",J18&lt;&gt;""),1,0)</x:f>
        <x:v>0</x:v>
      </x:c>
      <x:c r="L18" s="43" t="n">
        <x:f>IF(AND(A18&lt;&gt;"",E18&lt;TODAY(),F18&lt;&gt;"Completed",F18&lt;&gt;"Cancelled"),1,0)</x:f>
        <x:v>0</x:v>
      </x:c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 t="str"/>
      <x:c r="B19" s="43" t="n">
        <x:v>15</x:v>
      </x:c>
      <x:c r="C19" s="43" t="str"/>
      <x:c r="D19" s="43" t="str"/>
      <x:c r="E19" s="52" t="str"/>
      <x:c r="F19" s="43" t="str">
        <x:v>Open</x:v>
      </x:c>
      <x:c r="G19" s="43" t="str"/>
      <x:c r="H19" s="43" t="str"/>
      <x:c r="I19" s="43" t="str"/>
      <x:c r="J19" s="44" t="str"/>
      <x:c r="K19" s="43" t="n">
        <x:f>IF(AND(A19&lt;&gt;"",F19="Completed",G19&lt;&gt;"",H19&lt;&gt;"",I19&lt;&gt;"",J19&lt;&gt;""),1,0)</x:f>
        <x:v>0</x:v>
      </x:c>
      <x:c r="L19" s="43" t="n">
        <x:f>IF(AND(A19&lt;&gt;"",E19&lt;TODAY(),F19&lt;&gt;"Completed",F19&lt;&gt;"Cancelled"),1,0)</x:f>
        <x:v>0</x:v>
      </x:c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 t="str"/>
      <x:c r="B20" s="43" t="n">
        <x:v>16</x:v>
      </x:c>
      <x:c r="C20" s="43" t="str"/>
      <x:c r="D20" s="43" t="str"/>
      <x:c r="E20" s="52" t="str"/>
      <x:c r="F20" s="43" t="str">
        <x:v>Open</x:v>
      </x:c>
      <x:c r="G20" s="43" t="str"/>
      <x:c r="H20" s="43" t="str"/>
      <x:c r="I20" s="43" t="str"/>
      <x:c r="J20" s="44" t="str"/>
      <x:c r="K20" s="43" t="n">
        <x:f>IF(AND(A20&lt;&gt;"",F20="Completed",G20&lt;&gt;"",H20&lt;&gt;"",I20&lt;&gt;"",J20&lt;&gt;""),1,0)</x:f>
        <x:v>0</x:v>
      </x:c>
      <x:c r="L20" s="43" t="n">
        <x:f>IF(AND(A20&lt;&gt;"",E20&lt;TODAY(),F20&lt;&gt;"Completed",F20&lt;&gt;"Cancelled"),1,0)</x:f>
        <x:v>0</x:v>
      </x:c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 t="str"/>
      <x:c r="B21" s="43" t="n">
        <x:v>17</x:v>
      </x:c>
      <x:c r="C21" s="43" t="str"/>
      <x:c r="D21" s="43" t="str"/>
      <x:c r="E21" s="52" t="str"/>
      <x:c r="F21" s="43" t="str">
        <x:v>Open</x:v>
      </x:c>
      <x:c r="G21" s="43" t="str"/>
      <x:c r="H21" s="43" t="str"/>
      <x:c r="I21" s="43" t="str"/>
      <x:c r="J21" s="44" t="str"/>
      <x:c r="K21" s="43" t="n">
        <x:f>IF(AND(A21&lt;&gt;"",F21="Completed",G21&lt;&gt;"",H21&lt;&gt;"",I21&lt;&gt;"",J21&lt;&gt;""),1,0)</x:f>
        <x:v>0</x:v>
      </x:c>
      <x:c r="L21" s="43" t="n">
        <x:f>IF(AND(A21&lt;&gt;"",E21&lt;TODAY(),F21&lt;&gt;"Completed",F21&lt;&gt;"Cancelled"),1,0)</x:f>
        <x:v>0</x:v>
      </x:c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 t="str"/>
      <x:c r="B22" s="43" t="n">
        <x:v>18</x:v>
      </x:c>
      <x:c r="C22" s="43" t="str"/>
      <x:c r="D22" s="43" t="str"/>
      <x:c r="E22" s="52" t="str"/>
      <x:c r="F22" s="43" t="str">
        <x:v>Open</x:v>
      </x:c>
      <x:c r="G22" s="43" t="str"/>
      <x:c r="H22" s="43" t="str"/>
      <x:c r="I22" s="43" t="str"/>
      <x:c r="J22" s="44" t="str"/>
      <x:c r="K22" s="43" t="n">
        <x:f>IF(AND(A22&lt;&gt;"",F22="Completed",G22&lt;&gt;"",H22&lt;&gt;"",I22&lt;&gt;"",J22&lt;&gt;""),1,0)</x:f>
        <x:v>0</x:v>
      </x:c>
      <x:c r="L22" s="43" t="n">
        <x:f>IF(AND(A22&lt;&gt;"",E22&lt;TODAY(),F22&lt;&gt;"Completed",F22&lt;&gt;"Cancelled"),1,0)</x:f>
        <x:v>0</x:v>
      </x:c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 t="str"/>
      <x:c r="B23" s="43" t="n">
        <x:v>19</x:v>
      </x:c>
      <x:c r="C23" s="43" t="str"/>
      <x:c r="D23" s="43" t="str"/>
      <x:c r="E23" s="52" t="str"/>
      <x:c r="F23" s="43" t="str">
        <x:v>Open</x:v>
      </x:c>
      <x:c r="G23" s="43" t="str"/>
      <x:c r="H23" s="43" t="str"/>
      <x:c r="I23" s="43" t="str"/>
      <x:c r="J23" s="44" t="str"/>
      <x:c r="K23" s="43" t="n">
        <x:f>IF(AND(A23&lt;&gt;"",F23="Completed",G23&lt;&gt;"",H23&lt;&gt;"",I23&lt;&gt;"",J23&lt;&gt;""),1,0)</x:f>
        <x:v>0</x:v>
      </x:c>
      <x:c r="L23" s="43" t="n">
        <x:f>IF(AND(A23&lt;&gt;"",E23&lt;TODAY(),F23&lt;&gt;"Completed",F23&lt;&gt;"Cancelled"),1,0)</x:f>
        <x:v>0</x:v>
      </x:c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 t="str"/>
      <x:c r="B24" s="43" t="n">
        <x:v>20</x:v>
      </x:c>
      <x:c r="C24" s="43" t="str"/>
      <x:c r="D24" s="43" t="str"/>
      <x:c r="E24" s="52" t="str"/>
      <x:c r="F24" s="43" t="str">
        <x:v>Open</x:v>
      </x:c>
      <x:c r="G24" s="43" t="str"/>
      <x:c r="H24" s="43" t="str"/>
      <x:c r="I24" s="43" t="str"/>
      <x:c r="J24" s="44" t="str"/>
      <x:c r="K24" s="43" t="n">
        <x:f>IF(AND(A24&lt;&gt;"",F24="Completed",G24&lt;&gt;"",H24&lt;&gt;"",I24&lt;&gt;"",J24&lt;&gt;""),1,0)</x:f>
        <x:v>0</x:v>
      </x:c>
      <x:c r="L24" s="43" t="n">
        <x:f>IF(AND(A24&lt;&gt;"",E24&lt;TODAY(),F24&lt;&gt;"Completed",F24&lt;&gt;"Cancelled"),1,0)</x:f>
        <x:v>0</x:v>
      </x:c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3" t="str"/>
      <x:c r="B25" s="43" t="n">
        <x:v>21</x:v>
      </x:c>
      <x:c r="C25" s="43" t="str"/>
      <x:c r="D25" s="43" t="str"/>
      <x:c r="E25" s="52" t="str"/>
      <x:c r="F25" s="43" t="str">
        <x:v>Open</x:v>
      </x:c>
      <x:c r="G25" s="43" t="str"/>
      <x:c r="H25" s="43" t="str"/>
      <x:c r="I25" s="43" t="str"/>
      <x:c r="J25" s="44" t="str"/>
      <x:c r="K25" s="43" t="n">
        <x:f>IF(AND(A25&lt;&gt;"",F25="Completed",G25&lt;&gt;"",H25&lt;&gt;"",I25&lt;&gt;"",J25&lt;&gt;""),1,0)</x:f>
        <x:v>0</x:v>
      </x:c>
      <x:c r="L25" s="43" t="n">
        <x:f>IF(AND(A25&lt;&gt;"",E25&lt;TODAY(),F25&lt;&gt;"Completed",F25&lt;&gt;"Cancelled"),1,0)</x:f>
        <x:v>0</x:v>
      </x:c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3" t="str"/>
      <x:c r="B26" s="43" t="n">
        <x:v>22</x:v>
      </x:c>
      <x:c r="C26" s="43" t="str"/>
      <x:c r="D26" s="43" t="str"/>
      <x:c r="E26" s="52" t="str"/>
      <x:c r="F26" s="43" t="str">
        <x:v>Open</x:v>
      </x:c>
      <x:c r="G26" s="43" t="str"/>
      <x:c r="H26" s="43" t="str"/>
      <x:c r="I26" s="43" t="str"/>
      <x:c r="J26" s="44" t="str"/>
      <x:c r="K26" s="43" t="n">
        <x:f>IF(AND(A26&lt;&gt;"",F26="Completed",G26&lt;&gt;"",H26&lt;&gt;"",I26&lt;&gt;"",J26&lt;&gt;""),1,0)</x:f>
        <x:v>0</x:v>
      </x:c>
      <x:c r="L26" s="43" t="n">
        <x:f>IF(AND(A26&lt;&gt;"",E26&lt;TODAY(),F26&lt;&gt;"Completed",F26&lt;&gt;"Cancelled"),1,0)</x:f>
        <x:v>0</x:v>
      </x:c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3" t="str"/>
      <x:c r="B27" s="43" t="n">
        <x:v>23</x:v>
      </x:c>
      <x:c r="C27" s="43" t="str"/>
      <x:c r="D27" s="43" t="str"/>
      <x:c r="E27" s="52" t="str"/>
      <x:c r="F27" s="43" t="str">
        <x:v>Open</x:v>
      </x:c>
      <x:c r="G27" s="43" t="str"/>
      <x:c r="H27" s="43" t="str"/>
      <x:c r="I27" s="43" t="str"/>
      <x:c r="J27" s="44" t="str"/>
      <x:c r="K27" s="43" t="n">
        <x:f>IF(AND(A27&lt;&gt;"",F27="Completed",G27&lt;&gt;"",H27&lt;&gt;"",I27&lt;&gt;"",J27&lt;&gt;""),1,0)</x:f>
        <x:v>0</x:v>
      </x:c>
      <x:c r="L27" s="43" t="n">
        <x:f>IF(AND(A27&lt;&gt;"",E27&lt;TODAY(),F27&lt;&gt;"Completed",F27&lt;&gt;"Cancelled"),1,0)</x:f>
        <x:v>0</x:v>
      </x:c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3" t="str"/>
      <x:c r="B28" s="43" t="n">
        <x:v>24</x:v>
      </x:c>
      <x:c r="C28" s="43" t="str"/>
      <x:c r="D28" s="43" t="str"/>
      <x:c r="E28" s="52" t="str"/>
      <x:c r="F28" s="43" t="str">
        <x:v>Open</x:v>
      </x:c>
      <x:c r="G28" s="43" t="str"/>
      <x:c r="H28" s="43" t="str"/>
      <x:c r="I28" s="43" t="str"/>
      <x:c r="J28" s="44" t="str"/>
      <x:c r="K28" s="43" t="n">
        <x:f>IF(AND(A28&lt;&gt;"",F28="Completed",G28&lt;&gt;"",H28&lt;&gt;"",I28&lt;&gt;"",J28&lt;&gt;""),1,0)</x:f>
        <x:v>0</x:v>
      </x:c>
      <x:c r="L28" s="43" t="n">
        <x:f>IF(AND(A28&lt;&gt;"",E28&lt;TODAY(),F28&lt;&gt;"Completed",F28&lt;&gt;"Cancelled"),1,0)</x:f>
        <x:v>0</x:v>
      </x:c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3" t="str"/>
      <x:c r="B29" s="43" t="n">
        <x:v>25</x:v>
      </x:c>
      <x:c r="C29" s="43" t="str"/>
      <x:c r="D29" s="43" t="str"/>
      <x:c r="E29" s="52" t="str"/>
      <x:c r="F29" s="43" t="str">
        <x:v>Open</x:v>
      </x:c>
      <x:c r="G29" s="43" t="str"/>
      <x:c r="H29" s="43" t="str"/>
      <x:c r="I29" s="43" t="str"/>
      <x:c r="J29" s="44" t="str"/>
      <x:c r="K29" s="43" t="n">
        <x:f>IF(AND(A29&lt;&gt;"",F29="Completed",G29&lt;&gt;"",H29&lt;&gt;"",I29&lt;&gt;"",J29&lt;&gt;""),1,0)</x:f>
        <x:v>0</x:v>
      </x:c>
      <x:c r="L29" s="43" t="n">
        <x:f>IF(AND(A29&lt;&gt;"",E29&lt;TODAY(),F29&lt;&gt;"Completed",F29&lt;&gt;"Cancelled"),1,0)</x:f>
        <x:v>0</x:v>
      </x:c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3" t="str"/>
      <x:c r="B30" s="43" t="n">
        <x:v>26</x:v>
      </x:c>
      <x:c r="C30" s="43" t="str"/>
      <x:c r="D30" s="43" t="str"/>
      <x:c r="E30" s="52" t="str"/>
      <x:c r="F30" s="43" t="str">
        <x:v>Open</x:v>
      </x:c>
      <x:c r="G30" s="43" t="str"/>
      <x:c r="H30" s="43" t="str"/>
      <x:c r="I30" s="43" t="str"/>
      <x:c r="J30" s="44" t="str"/>
      <x:c r="K30" s="43" t="n">
        <x:f>IF(AND(A30&lt;&gt;"",F30="Completed",G30&lt;&gt;"",H30&lt;&gt;"",I30&lt;&gt;"",J30&lt;&gt;""),1,0)</x:f>
        <x:v>0</x:v>
      </x:c>
      <x:c r="L30" s="43" t="n">
        <x:f>IF(AND(A30&lt;&gt;"",E30&lt;TODAY(),F30&lt;&gt;"Completed",F30&lt;&gt;"Cancelled"),1,0)</x:f>
        <x:v>0</x:v>
      </x:c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3" t="str"/>
      <x:c r="B31" s="43" t="n">
        <x:v>27</x:v>
      </x:c>
      <x:c r="C31" s="43" t="str"/>
      <x:c r="D31" s="43" t="str"/>
      <x:c r="E31" s="52" t="str"/>
      <x:c r="F31" s="43" t="str">
        <x:v>Open</x:v>
      </x:c>
      <x:c r="G31" s="43" t="str"/>
      <x:c r="H31" s="43" t="str"/>
      <x:c r="I31" s="43" t="str"/>
      <x:c r="J31" s="44" t="str"/>
      <x:c r="K31" s="43" t="n">
        <x:f>IF(AND(A31&lt;&gt;"",F31="Completed",G31&lt;&gt;"",H31&lt;&gt;"",I31&lt;&gt;"",J31&lt;&gt;""),1,0)</x:f>
        <x:v>0</x:v>
      </x:c>
      <x:c r="L31" s="43" t="n">
        <x:f>IF(AND(A31&lt;&gt;"",E31&lt;TODAY(),F31&lt;&gt;"Completed",F31&lt;&gt;"Cancelled"),1,0)</x:f>
        <x:v>0</x:v>
      </x:c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3" t="str"/>
      <x:c r="B32" s="43" t="n">
        <x:v>28</x:v>
      </x:c>
      <x:c r="C32" s="43" t="str"/>
      <x:c r="D32" s="43" t="str"/>
      <x:c r="E32" s="52" t="str"/>
      <x:c r="F32" s="43" t="str">
        <x:v>Open</x:v>
      </x:c>
      <x:c r="G32" s="43" t="str"/>
      <x:c r="H32" s="43" t="str"/>
      <x:c r="I32" s="43" t="str"/>
      <x:c r="J32" s="44" t="str"/>
      <x:c r="K32" s="43" t="n">
        <x:f>IF(AND(A32&lt;&gt;"",F32="Completed",G32&lt;&gt;"",H32&lt;&gt;"",I32&lt;&gt;"",J32&lt;&gt;""),1,0)</x:f>
        <x:v>0</x:v>
      </x:c>
      <x:c r="L32" s="43" t="n">
        <x:f>IF(AND(A32&lt;&gt;"",E32&lt;TODAY(),F32&lt;&gt;"Completed",F32&lt;&gt;"Cancelled"),1,0)</x:f>
        <x:v>0</x:v>
      </x:c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3" t="str"/>
      <x:c r="B33" s="43" t="n">
        <x:v>29</x:v>
      </x:c>
      <x:c r="C33" s="43" t="str"/>
      <x:c r="D33" s="43" t="str"/>
      <x:c r="E33" s="52" t="str"/>
      <x:c r="F33" s="43" t="str">
        <x:v>Open</x:v>
      </x:c>
      <x:c r="G33" s="43" t="str"/>
      <x:c r="H33" s="43" t="str"/>
      <x:c r="I33" s="43" t="str"/>
      <x:c r="J33" s="44" t="str"/>
      <x:c r="K33" s="43" t="n">
        <x:f>IF(AND(A33&lt;&gt;"",F33="Completed",G33&lt;&gt;"",H33&lt;&gt;"",I33&lt;&gt;"",J33&lt;&gt;""),1,0)</x:f>
        <x:v>0</x:v>
      </x:c>
      <x:c r="L33" s="43" t="n">
        <x:f>IF(AND(A33&lt;&gt;"",E33&lt;TODAY(),F33&lt;&gt;"Completed",F33&lt;&gt;"Cancelled"),1,0)</x:f>
        <x:v>0</x:v>
      </x:c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3" t="str"/>
      <x:c r="B34" s="43" t="n">
        <x:v>30</x:v>
      </x:c>
      <x:c r="C34" s="43" t="str"/>
      <x:c r="D34" s="43" t="str"/>
      <x:c r="E34" s="52" t="str"/>
      <x:c r="F34" s="43" t="str">
        <x:v>Open</x:v>
      </x:c>
      <x:c r="G34" s="43" t="str"/>
      <x:c r="H34" s="43" t="str"/>
      <x:c r="I34" s="43" t="str"/>
      <x:c r="J34" s="44" t="str"/>
      <x:c r="K34" s="43" t="n">
        <x:f>IF(AND(A34&lt;&gt;"",F34="Completed",G34&lt;&gt;"",H34&lt;&gt;"",I34&lt;&gt;"",J34&lt;&gt;""),1,0)</x:f>
        <x:v>0</x:v>
      </x:c>
      <x:c r="L34" s="43" t="n">
        <x:f>IF(AND(A34&lt;&gt;"",E34&lt;TODAY(),F34&lt;&gt;"Completed",F34&lt;&gt;"Cancelled"),1,0)</x:f>
        <x:v>0</x:v>
      </x:c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3" t="str"/>
      <x:c r="B35" s="43" t="n">
        <x:v>31</x:v>
      </x:c>
      <x:c r="C35" s="43" t="str"/>
      <x:c r="D35" s="43" t="str"/>
      <x:c r="E35" s="52" t="str"/>
      <x:c r="F35" s="43" t="str">
        <x:v>Open</x:v>
      </x:c>
      <x:c r="G35" s="43" t="str"/>
      <x:c r="H35" s="43" t="str"/>
      <x:c r="I35" s="43" t="str"/>
      <x:c r="J35" s="44" t="str"/>
      <x:c r="K35" s="43" t="n">
        <x:f>IF(AND(A35&lt;&gt;"",F35="Completed",G35&lt;&gt;"",H35&lt;&gt;"",I35&lt;&gt;"",J35&lt;&gt;""),1,0)</x:f>
        <x:v>0</x:v>
      </x:c>
      <x:c r="L35" s="43" t="n">
        <x:f>IF(AND(A35&lt;&gt;"",E35&lt;TODAY(),F35&lt;&gt;"Completed",F35&lt;&gt;"Cancelled"),1,0)</x:f>
        <x:v>0</x:v>
      </x:c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3" t="str"/>
      <x:c r="B36" s="43" t="n">
        <x:v>32</x:v>
      </x:c>
      <x:c r="C36" s="43" t="str"/>
      <x:c r="D36" s="43" t="str"/>
      <x:c r="E36" s="52" t="str"/>
      <x:c r="F36" s="43" t="str">
        <x:v>Open</x:v>
      </x:c>
      <x:c r="G36" s="43" t="str"/>
      <x:c r="H36" s="43" t="str"/>
      <x:c r="I36" s="43" t="str"/>
      <x:c r="J36" s="44" t="str"/>
      <x:c r="K36" s="43" t="n">
        <x:f>IF(AND(A36&lt;&gt;"",F36="Completed",G36&lt;&gt;"",H36&lt;&gt;"",I36&lt;&gt;"",J36&lt;&gt;""),1,0)</x:f>
        <x:v>0</x:v>
      </x:c>
      <x:c r="L36" s="43" t="n">
        <x:f>IF(AND(A36&lt;&gt;"",E36&lt;TODAY(),F36&lt;&gt;"Completed",F36&lt;&gt;"Cancelled"),1,0)</x:f>
        <x:v>0</x:v>
      </x:c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3" t="str"/>
      <x:c r="B37" s="43" t="n">
        <x:v>33</x:v>
      </x:c>
      <x:c r="C37" s="43" t="str"/>
      <x:c r="D37" s="43" t="str"/>
      <x:c r="E37" s="52" t="str"/>
      <x:c r="F37" s="43" t="str">
        <x:v>Open</x:v>
      </x:c>
      <x:c r="G37" s="43" t="str"/>
      <x:c r="H37" s="43" t="str"/>
      <x:c r="I37" s="43" t="str"/>
      <x:c r="J37" s="44" t="str"/>
      <x:c r="K37" s="43" t="n">
        <x:f>IF(AND(A37&lt;&gt;"",F37="Completed",G37&lt;&gt;"",H37&lt;&gt;"",I37&lt;&gt;"",J37&lt;&gt;""),1,0)</x:f>
        <x:v>0</x:v>
      </x:c>
      <x:c r="L37" s="43" t="n">
        <x:f>IF(AND(A37&lt;&gt;"",E37&lt;TODAY(),F37&lt;&gt;"Completed",F37&lt;&gt;"Cancelled"),1,0)</x:f>
        <x:v>0</x:v>
      </x:c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3" t="str"/>
      <x:c r="B38" s="43" t="n">
        <x:v>34</x:v>
      </x:c>
      <x:c r="C38" s="43" t="str"/>
      <x:c r="D38" s="43" t="str"/>
      <x:c r="E38" s="52" t="str"/>
      <x:c r="F38" s="43" t="str">
        <x:v>Open</x:v>
      </x:c>
      <x:c r="G38" s="43" t="str"/>
      <x:c r="H38" s="43" t="str"/>
      <x:c r="I38" s="43" t="str"/>
      <x:c r="J38" s="44" t="str"/>
      <x:c r="K38" s="43" t="n">
        <x:f>IF(AND(A38&lt;&gt;"",F38="Completed",G38&lt;&gt;"",H38&lt;&gt;"",I38&lt;&gt;"",J38&lt;&gt;""),1,0)</x:f>
        <x:v>0</x:v>
      </x:c>
      <x:c r="L38" s="43" t="n">
        <x:f>IF(AND(A38&lt;&gt;"",E38&lt;TODAY(),F38&lt;&gt;"Completed",F38&lt;&gt;"Cancelled"),1,0)</x:f>
        <x:v>0</x:v>
      </x:c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3" t="str"/>
      <x:c r="B39" s="43" t="n">
        <x:v>35</x:v>
      </x:c>
      <x:c r="C39" s="43" t="str"/>
      <x:c r="D39" s="43" t="str"/>
      <x:c r="E39" s="52" t="str"/>
      <x:c r="F39" s="43" t="str">
        <x:v>Open</x:v>
      </x:c>
      <x:c r="G39" s="43" t="str"/>
      <x:c r="H39" s="43" t="str"/>
      <x:c r="I39" s="43" t="str"/>
      <x:c r="J39" s="44" t="str"/>
      <x:c r="K39" s="43" t="n">
        <x:f>IF(AND(A39&lt;&gt;"",F39="Completed",G39&lt;&gt;"",H39&lt;&gt;"",I39&lt;&gt;"",J39&lt;&gt;""),1,0)</x:f>
        <x:v>0</x:v>
      </x:c>
      <x:c r="L39" s="43" t="n">
        <x:f>IF(AND(A39&lt;&gt;"",E39&lt;TODAY(),F39&lt;&gt;"Completed",F39&lt;&gt;"Cancelled"),1,0)</x:f>
        <x:v>0</x:v>
      </x:c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3" t="str"/>
      <x:c r="B40" s="43" t="n">
        <x:v>36</x:v>
      </x:c>
      <x:c r="C40" s="43" t="str"/>
      <x:c r="D40" s="43" t="str"/>
      <x:c r="E40" s="52" t="str"/>
      <x:c r="F40" s="43" t="str">
        <x:v>Open</x:v>
      </x:c>
      <x:c r="G40" s="43" t="str"/>
      <x:c r="H40" s="43" t="str"/>
      <x:c r="I40" s="43" t="str"/>
      <x:c r="J40" s="44" t="str"/>
      <x:c r="K40" s="43" t="n">
        <x:f>IF(AND(A40&lt;&gt;"",F40="Completed",G40&lt;&gt;"",H40&lt;&gt;"",I40&lt;&gt;"",J40&lt;&gt;""),1,0)</x:f>
        <x:v>0</x:v>
      </x:c>
      <x:c r="L40" s="43" t="n">
        <x:f>IF(AND(A40&lt;&gt;"",E40&lt;TODAY(),F40&lt;&gt;"Completed",F40&lt;&gt;"Cancelled"),1,0)</x:f>
        <x:v>0</x:v>
      </x:c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3" t="str"/>
      <x:c r="B41" s="43" t="n">
        <x:v>37</x:v>
      </x:c>
      <x:c r="C41" s="43" t="str"/>
      <x:c r="D41" s="43" t="str"/>
      <x:c r="E41" s="52" t="str"/>
      <x:c r="F41" s="43" t="str">
        <x:v>Open</x:v>
      </x:c>
      <x:c r="G41" s="43" t="str"/>
      <x:c r="H41" s="43" t="str"/>
      <x:c r="I41" s="43" t="str"/>
      <x:c r="J41" s="44" t="str"/>
      <x:c r="K41" s="43" t="n">
        <x:f>IF(AND(A41&lt;&gt;"",F41="Completed",G41&lt;&gt;"",H41&lt;&gt;"",I41&lt;&gt;"",J41&lt;&gt;""),1,0)</x:f>
        <x:v>0</x:v>
      </x:c>
      <x:c r="L41" s="43" t="n">
        <x:f>IF(AND(A41&lt;&gt;"",E41&lt;TODAY(),F41&lt;&gt;"Completed",F41&lt;&gt;"Cancelled"),1,0)</x:f>
        <x:v>0</x:v>
      </x:c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3" t="str"/>
      <x:c r="B42" s="43" t="n">
        <x:v>38</x:v>
      </x:c>
      <x:c r="C42" s="43" t="str"/>
      <x:c r="D42" s="43" t="str"/>
      <x:c r="E42" s="52" t="str"/>
      <x:c r="F42" s="43" t="str">
        <x:v>Open</x:v>
      </x:c>
      <x:c r="G42" s="43" t="str"/>
      <x:c r="H42" s="43" t="str"/>
      <x:c r="I42" s="43" t="str"/>
      <x:c r="J42" s="44" t="str"/>
      <x:c r="K42" s="43" t="n">
        <x:f>IF(AND(A42&lt;&gt;"",F42="Completed",G42&lt;&gt;"",H42&lt;&gt;"",I42&lt;&gt;"",J42&lt;&gt;""),1,0)</x:f>
        <x:v>0</x:v>
      </x:c>
      <x:c r="L42" s="43" t="n">
        <x:f>IF(AND(A42&lt;&gt;"",E42&lt;TODAY(),F42&lt;&gt;"Completed",F42&lt;&gt;"Cancelled"),1,0)</x:f>
        <x:v>0</x:v>
      </x:c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3" t="str"/>
      <x:c r="B43" s="43" t="n">
        <x:v>39</x:v>
      </x:c>
      <x:c r="C43" s="43" t="str"/>
      <x:c r="D43" s="43" t="str"/>
      <x:c r="E43" s="52" t="str"/>
      <x:c r="F43" s="43" t="str">
        <x:v>Open</x:v>
      </x:c>
      <x:c r="G43" s="43" t="str"/>
      <x:c r="H43" s="43" t="str"/>
      <x:c r="I43" s="43" t="str"/>
      <x:c r="J43" s="44" t="str"/>
      <x:c r="K43" s="43" t="n">
        <x:f>IF(AND(A43&lt;&gt;"",F43="Completed",G43&lt;&gt;"",H43&lt;&gt;"",I43&lt;&gt;"",J43&lt;&gt;""),1,0)</x:f>
        <x:v>0</x:v>
      </x:c>
      <x:c r="L43" s="43" t="n">
        <x:f>IF(AND(A43&lt;&gt;"",E43&lt;TODAY(),F43&lt;&gt;"Completed",F43&lt;&gt;"Cancelled"),1,0)</x:f>
        <x:v>0</x:v>
      </x:c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3" t="str"/>
      <x:c r="B44" s="43" t="n">
        <x:v>40</x:v>
      </x:c>
      <x:c r="C44" s="43" t="str"/>
      <x:c r="D44" s="43" t="str"/>
      <x:c r="E44" s="52" t="str"/>
      <x:c r="F44" s="43" t="str">
        <x:v>Open</x:v>
      </x:c>
      <x:c r="G44" s="43" t="str"/>
      <x:c r="H44" s="43" t="str"/>
      <x:c r="I44" s="43" t="str"/>
      <x:c r="J44" s="44" t="str"/>
      <x:c r="K44" s="43" t="n">
        <x:f>IF(AND(A44&lt;&gt;"",F44="Completed",G44&lt;&gt;"",H44&lt;&gt;"",I44&lt;&gt;"",J44&lt;&gt;""),1,0)</x:f>
        <x:v>0</x:v>
      </x:c>
      <x:c r="L44" s="43" t="n">
        <x:f>IF(AND(A44&lt;&gt;"",E44&lt;TODAY(),F44&lt;&gt;"Completed",F44&lt;&gt;"Cancelled"),1,0)</x:f>
        <x:v>0</x:v>
      </x:c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3" t="str"/>
      <x:c r="B45" s="43" t="n">
        <x:v>41</x:v>
      </x:c>
      <x:c r="C45" s="43" t="str"/>
      <x:c r="D45" s="43" t="str"/>
      <x:c r="E45" s="52" t="str"/>
      <x:c r="F45" s="43" t="str">
        <x:v>Open</x:v>
      </x:c>
      <x:c r="G45" s="43" t="str"/>
      <x:c r="H45" s="43" t="str"/>
      <x:c r="I45" s="43" t="str"/>
      <x:c r="J45" s="44" t="str"/>
      <x:c r="K45" s="43" t="n">
        <x:f>IF(AND(A45&lt;&gt;"",F45="Completed",G45&lt;&gt;"",H45&lt;&gt;"",I45&lt;&gt;"",J45&lt;&gt;""),1,0)</x:f>
        <x:v>0</x:v>
      </x:c>
      <x:c r="L45" s="43" t="n">
        <x:f>IF(AND(A45&lt;&gt;"",E45&lt;TODAY(),F45&lt;&gt;"Completed",F45&lt;&gt;"Cancelled"),1,0)</x:f>
        <x:v>0</x:v>
      </x:c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3" t="str"/>
      <x:c r="B46" s="43" t="n">
        <x:v>42</x:v>
      </x:c>
      <x:c r="C46" s="43" t="str"/>
      <x:c r="D46" s="43" t="str"/>
      <x:c r="E46" s="52" t="str"/>
      <x:c r="F46" s="43" t="str">
        <x:v>Open</x:v>
      </x:c>
      <x:c r="G46" s="43" t="str"/>
      <x:c r="H46" s="43" t="str"/>
      <x:c r="I46" s="43" t="str"/>
      <x:c r="J46" s="44" t="str"/>
      <x:c r="K46" s="43" t="n">
        <x:f>IF(AND(A46&lt;&gt;"",F46="Completed",G46&lt;&gt;"",H46&lt;&gt;"",I46&lt;&gt;"",J46&lt;&gt;""),1,0)</x:f>
        <x:v>0</x:v>
      </x:c>
      <x:c r="L46" s="43" t="n">
        <x:f>IF(AND(A46&lt;&gt;"",E46&lt;TODAY(),F46&lt;&gt;"Completed",F46&lt;&gt;"Cancelled"),1,0)</x:f>
        <x:v>0</x:v>
      </x:c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3" t="str"/>
      <x:c r="B47" s="43" t="n">
        <x:v>43</x:v>
      </x:c>
      <x:c r="C47" s="43" t="str"/>
      <x:c r="D47" s="43" t="str"/>
      <x:c r="E47" s="52" t="str"/>
      <x:c r="F47" s="43" t="str">
        <x:v>Open</x:v>
      </x:c>
      <x:c r="G47" s="43" t="str"/>
      <x:c r="H47" s="43" t="str"/>
      <x:c r="I47" s="43" t="str"/>
      <x:c r="J47" s="44" t="str"/>
      <x:c r="K47" s="43" t="n">
        <x:f>IF(AND(A47&lt;&gt;"",F47="Completed",G47&lt;&gt;"",H47&lt;&gt;"",I47&lt;&gt;"",J47&lt;&gt;""),1,0)</x:f>
        <x:v>0</x:v>
      </x:c>
      <x:c r="L47" s="43" t="n">
        <x:f>IF(AND(A47&lt;&gt;"",E47&lt;TODAY(),F47&lt;&gt;"Completed",F47&lt;&gt;"Cancelled"),1,0)</x:f>
        <x:v>0</x:v>
      </x:c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3" t="str"/>
      <x:c r="B48" s="43" t="n">
        <x:v>44</x:v>
      </x:c>
      <x:c r="C48" s="43" t="str"/>
      <x:c r="D48" s="43" t="str"/>
      <x:c r="E48" s="52" t="str"/>
      <x:c r="F48" s="43" t="str">
        <x:v>Open</x:v>
      </x:c>
      <x:c r="G48" s="43" t="str"/>
      <x:c r="H48" s="43" t="str"/>
      <x:c r="I48" s="43" t="str"/>
      <x:c r="J48" s="44" t="str"/>
      <x:c r="K48" s="43" t="n">
        <x:f>IF(AND(A48&lt;&gt;"",F48="Completed",G48&lt;&gt;"",H48&lt;&gt;"",I48&lt;&gt;"",J48&lt;&gt;""),1,0)</x:f>
        <x:v>0</x:v>
      </x:c>
      <x:c r="L48" s="43" t="n">
        <x:f>IF(AND(A48&lt;&gt;"",E48&lt;TODAY(),F48&lt;&gt;"Completed",F48&lt;&gt;"Cancelled"),1,0)</x:f>
        <x:v>0</x:v>
      </x:c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3" t="str"/>
      <x:c r="B49" s="43" t="n">
        <x:v>45</x:v>
      </x:c>
      <x:c r="C49" s="43" t="str"/>
      <x:c r="D49" s="43" t="str"/>
      <x:c r="E49" s="52" t="str"/>
      <x:c r="F49" s="43" t="str">
        <x:v>Open</x:v>
      </x:c>
      <x:c r="G49" s="43" t="str"/>
      <x:c r="H49" s="43" t="str"/>
      <x:c r="I49" s="43" t="str"/>
      <x:c r="J49" s="44" t="str"/>
      <x:c r="K49" s="43" t="n">
        <x:f>IF(AND(A49&lt;&gt;"",F49="Completed",G49&lt;&gt;"",H49&lt;&gt;"",I49&lt;&gt;"",J49&lt;&gt;""),1,0)</x:f>
        <x:v>0</x:v>
      </x:c>
      <x:c r="L49" s="43" t="n">
        <x:f>IF(AND(A49&lt;&gt;"",E49&lt;TODAY(),F49&lt;&gt;"Completed",F49&lt;&gt;"Cancelled"),1,0)</x:f>
        <x:v>0</x:v>
      </x:c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3" t="str"/>
      <x:c r="B50" s="43" t="n">
        <x:v>46</x:v>
      </x:c>
      <x:c r="C50" s="43" t="str"/>
      <x:c r="D50" s="43" t="str"/>
      <x:c r="E50" s="52" t="str"/>
      <x:c r="F50" s="43" t="str">
        <x:v>Open</x:v>
      </x:c>
      <x:c r="G50" s="43" t="str"/>
      <x:c r="H50" s="43" t="str"/>
      <x:c r="I50" s="43" t="str"/>
      <x:c r="J50" s="44" t="str"/>
      <x:c r="K50" s="43" t="n">
        <x:f>IF(AND(A50&lt;&gt;"",F50="Completed",G50&lt;&gt;"",H50&lt;&gt;"",I50&lt;&gt;"",J50&lt;&gt;""),1,0)</x:f>
        <x:v>0</x:v>
      </x:c>
      <x:c r="L50" s="43" t="n">
        <x:f>IF(AND(A50&lt;&gt;"",E50&lt;TODAY(),F50&lt;&gt;"Completed",F50&lt;&gt;"Cancelled"),1,0)</x:f>
        <x:v>0</x:v>
      </x:c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3" t="str"/>
      <x:c r="B51" s="43" t="n">
        <x:v>47</x:v>
      </x:c>
      <x:c r="C51" s="43" t="str"/>
      <x:c r="D51" s="43" t="str"/>
      <x:c r="E51" s="52" t="str"/>
      <x:c r="F51" s="43" t="str">
        <x:v>Open</x:v>
      </x:c>
      <x:c r="G51" s="43" t="str"/>
      <x:c r="H51" s="43" t="str"/>
      <x:c r="I51" s="43" t="str"/>
      <x:c r="J51" s="44" t="str"/>
      <x:c r="K51" s="43" t="n">
        <x:f>IF(AND(A51&lt;&gt;"",F51="Completed",G51&lt;&gt;"",H51&lt;&gt;"",I51&lt;&gt;"",J51&lt;&gt;""),1,0)</x:f>
        <x:v>0</x:v>
      </x:c>
      <x:c r="L51" s="43" t="n">
        <x:f>IF(AND(A51&lt;&gt;"",E51&lt;TODAY(),F51&lt;&gt;"Completed",F51&lt;&gt;"Cancelled"),1,0)</x:f>
        <x:v>0</x:v>
      </x:c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3" t="str"/>
      <x:c r="B52" s="43" t="n">
        <x:v>48</x:v>
      </x:c>
      <x:c r="C52" s="43" t="str"/>
      <x:c r="D52" s="43" t="str"/>
      <x:c r="E52" s="52" t="str"/>
      <x:c r="F52" s="43" t="str">
        <x:v>Open</x:v>
      </x:c>
      <x:c r="G52" s="43" t="str"/>
      <x:c r="H52" s="43" t="str"/>
      <x:c r="I52" s="43" t="str"/>
      <x:c r="J52" s="44" t="str"/>
      <x:c r="K52" s="43" t="n">
        <x:f>IF(AND(A52&lt;&gt;"",F52="Completed",G52&lt;&gt;"",H52&lt;&gt;"",I52&lt;&gt;"",J52&lt;&gt;""),1,0)</x:f>
        <x:v>0</x:v>
      </x:c>
      <x:c r="L52" s="43" t="n">
        <x:f>IF(AND(A52&lt;&gt;"",E52&lt;TODAY(),F52&lt;&gt;"Completed",F52&lt;&gt;"Cancelled"),1,0)</x:f>
        <x:v>0</x:v>
      </x:c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3" t="str"/>
      <x:c r="B53" s="43" t="n">
        <x:v>49</x:v>
      </x:c>
      <x:c r="C53" s="43" t="str"/>
      <x:c r="D53" s="43" t="str"/>
      <x:c r="E53" s="52" t="str"/>
      <x:c r="F53" s="43" t="str">
        <x:v>Open</x:v>
      </x:c>
      <x:c r="G53" s="43" t="str"/>
      <x:c r="H53" s="43" t="str"/>
      <x:c r="I53" s="43" t="str"/>
      <x:c r="J53" s="44" t="str"/>
      <x:c r="K53" s="43" t="n">
        <x:f>IF(AND(A53&lt;&gt;"",F53="Completed",G53&lt;&gt;"",H53&lt;&gt;"",I53&lt;&gt;"",J53&lt;&gt;""),1,0)</x:f>
        <x:v>0</x:v>
      </x:c>
      <x:c r="L53" s="43" t="n">
        <x:f>IF(AND(A53&lt;&gt;"",E53&lt;TODAY(),F53&lt;&gt;"Completed",F53&lt;&gt;"Cancelled"),1,0)</x:f>
        <x:v>0</x:v>
      </x:c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3" t="str"/>
      <x:c r="B54" s="43" t="n">
        <x:v>50</x:v>
      </x:c>
      <x:c r="C54" s="43" t="str"/>
      <x:c r="D54" s="43" t="str"/>
      <x:c r="E54" s="52" t="str"/>
      <x:c r="F54" s="43" t="str">
        <x:v>Open</x:v>
      </x:c>
      <x:c r="G54" s="43" t="str"/>
      <x:c r="H54" s="43" t="str"/>
      <x:c r="I54" s="43" t="str"/>
      <x:c r="J54" s="44" t="str"/>
      <x:c r="K54" s="43" t="n">
        <x:f>IF(AND(A54&lt;&gt;"",F54="Completed",G54&lt;&gt;"",H54&lt;&gt;"",I54&lt;&gt;"",J54&lt;&gt;""),1,0)</x:f>
        <x:v>0</x:v>
      </x:c>
      <x:c r="L54" s="43" t="n">
        <x:f>IF(AND(A54&lt;&gt;"",E54&lt;TODAY(),F54&lt;&gt;"Completed",F54&lt;&gt;"Cancelled"),1,0)</x:f>
        <x:v>0</x:v>
      </x:c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3" t="str"/>
      <x:c r="B55" s="43" t="n">
        <x:v>51</x:v>
      </x:c>
      <x:c r="C55" s="43" t="str"/>
      <x:c r="D55" s="43" t="str"/>
      <x:c r="E55" s="52" t="str"/>
      <x:c r="F55" s="43" t="str">
        <x:v>Open</x:v>
      </x:c>
      <x:c r="G55" s="43" t="str"/>
      <x:c r="H55" s="43" t="str"/>
      <x:c r="I55" s="43" t="str"/>
      <x:c r="J55" s="44" t="str"/>
      <x:c r="K55" s="43" t="n">
        <x:f>IF(AND(A55&lt;&gt;"",F55="Completed",G55&lt;&gt;"",H55&lt;&gt;"",I55&lt;&gt;"",J55&lt;&gt;""),1,0)</x:f>
        <x:v>0</x:v>
      </x:c>
      <x:c r="L55" s="43" t="n">
        <x:f>IF(AND(A55&lt;&gt;"",E55&lt;TODAY(),F55&lt;&gt;"Completed",F55&lt;&gt;"Cancelled"),1,0)</x:f>
        <x:v>0</x:v>
      </x:c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3" t="str"/>
      <x:c r="B56" s="43" t="n">
        <x:v>52</x:v>
      </x:c>
      <x:c r="C56" s="43" t="str"/>
      <x:c r="D56" s="43" t="str"/>
      <x:c r="E56" s="52" t="str"/>
      <x:c r="F56" s="43" t="str">
        <x:v>Open</x:v>
      </x:c>
      <x:c r="G56" s="43" t="str"/>
      <x:c r="H56" s="43" t="str"/>
      <x:c r="I56" s="43" t="str"/>
      <x:c r="J56" s="44" t="str"/>
      <x:c r="K56" s="43" t="n">
        <x:f>IF(AND(A56&lt;&gt;"",F56="Completed",G56&lt;&gt;"",H56&lt;&gt;"",I56&lt;&gt;"",J56&lt;&gt;""),1,0)</x:f>
        <x:v>0</x:v>
      </x:c>
      <x:c r="L56" s="43" t="n">
        <x:f>IF(AND(A56&lt;&gt;"",E56&lt;TODAY(),F56&lt;&gt;"Completed",F56&lt;&gt;"Cancelled"),1,0)</x:f>
        <x:v>0</x:v>
      </x:c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3" t="str"/>
      <x:c r="B57" s="43" t="n">
        <x:v>53</x:v>
      </x:c>
      <x:c r="C57" s="43" t="str"/>
      <x:c r="D57" s="43" t="str"/>
      <x:c r="E57" s="52" t="str"/>
      <x:c r="F57" s="43" t="str">
        <x:v>Open</x:v>
      </x:c>
      <x:c r="G57" s="43" t="str"/>
      <x:c r="H57" s="43" t="str"/>
      <x:c r="I57" s="43" t="str"/>
      <x:c r="J57" s="44" t="str"/>
      <x:c r="K57" s="43" t="n">
        <x:f>IF(AND(A57&lt;&gt;"",F57="Completed",G57&lt;&gt;"",H57&lt;&gt;"",I57&lt;&gt;"",J57&lt;&gt;""),1,0)</x:f>
        <x:v>0</x:v>
      </x:c>
      <x:c r="L57" s="43" t="n">
        <x:f>IF(AND(A57&lt;&gt;"",E57&lt;TODAY(),F57&lt;&gt;"Completed",F57&lt;&gt;"Cancelled"),1,0)</x:f>
        <x:v>0</x:v>
      </x:c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3" t="str"/>
      <x:c r="B58" s="43" t="n">
        <x:v>54</x:v>
      </x:c>
      <x:c r="C58" s="43" t="str"/>
      <x:c r="D58" s="43" t="str"/>
      <x:c r="E58" s="52" t="str"/>
      <x:c r="F58" s="43" t="str">
        <x:v>Open</x:v>
      </x:c>
      <x:c r="G58" s="43" t="str"/>
      <x:c r="H58" s="43" t="str"/>
      <x:c r="I58" s="43" t="str"/>
      <x:c r="J58" s="44" t="str"/>
      <x:c r="K58" s="43" t="n">
        <x:f>IF(AND(A58&lt;&gt;"",F58="Completed",G58&lt;&gt;"",H58&lt;&gt;"",I58&lt;&gt;"",J58&lt;&gt;""),1,0)</x:f>
        <x:v>0</x:v>
      </x:c>
      <x:c r="L58" s="43" t="n">
        <x:f>IF(AND(A58&lt;&gt;"",E58&lt;TODAY(),F58&lt;&gt;"Completed",F58&lt;&gt;"Cancelled"),1,0)</x:f>
        <x:v>0</x:v>
      </x:c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3" t="str"/>
      <x:c r="B59" s="43" t="n">
        <x:v>55</x:v>
      </x:c>
      <x:c r="C59" s="43" t="str"/>
      <x:c r="D59" s="43" t="str"/>
      <x:c r="E59" s="52" t="str"/>
      <x:c r="F59" s="43" t="str">
        <x:v>Open</x:v>
      </x:c>
      <x:c r="G59" s="43" t="str"/>
      <x:c r="H59" s="43" t="str"/>
      <x:c r="I59" s="43" t="str"/>
      <x:c r="J59" s="44" t="str"/>
      <x:c r="K59" s="43" t="n">
        <x:f>IF(AND(A59&lt;&gt;"",F59="Completed",G59&lt;&gt;"",H59&lt;&gt;"",I59&lt;&gt;"",J59&lt;&gt;""),1,0)</x:f>
        <x:v>0</x:v>
      </x:c>
      <x:c r="L59" s="43" t="n">
        <x:f>IF(AND(A59&lt;&gt;"",E59&lt;TODAY(),F59&lt;&gt;"Completed",F59&lt;&gt;"Cancelled"),1,0)</x:f>
        <x:v>0</x:v>
      </x:c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3" t="str"/>
      <x:c r="B60" s="43" t="n">
        <x:v>56</x:v>
      </x:c>
      <x:c r="C60" s="43" t="str"/>
      <x:c r="D60" s="43" t="str"/>
      <x:c r="E60" s="52" t="str"/>
      <x:c r="F60" s="43" t="str">
        <x:v>Open</x:v>
      </x:c>
      <x:c r="G60" s="43" t="str"/>
      <x:c r="H60" s="43" t="str"/>
      <x:c r="I60" s="43" t="str"/>
      <x:c r="J60" s="44" t="str"/>
      <x:c r="K60" s="43" t="n">
        <x:f>IF(AND(A60&lt;&gt;"",F60="Completed",G60&lt;&gt;"",H60&lt;&gt;"",I60&lt;&gt;"",J60&lt;&gt;""),1,0)</x:f>
        <x:v>0</x:v>
      </x:c>
      <x:c r="L60" s="43" t="n">
        <x:f>IF(AND(A60&lt;&gt;"",E60&lt;TODAY(),F60&lt;&gt;"Completed",F60&lt;&gt;"Cancelled"),1,0)</x:f>
        <x:v>0</x:v>
      </x:c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3" t="str"/>
      <x:c r="B61" s="43" t="n">
        <x:v>57</x:v>
      </x:c>
      <x:c r="C61" s="43" t="str"/>
      <x:c r="D61" s="43" t="str"/>
      <x:c r="E61" s="52" t="str"/>
      <x:c r="F61" s="43" t="str">
        <x:v>Open</x:v>
      </x:c>
      <x:c r="G61" s="43" t="str"/>
      <x:c r="H61" s="43" t="str"/>
      <x:c r="I61" s="43" t="str"/>
      <x:c r="J61" s="44" t="str"/>
      <x:c r="K61" s="43" t="n">
        <x:f>IF(AND(A61&lt;&gt;"",F61="Completed",G61&lt;&gt;"",H61&lt;&gt;"",I61&lt;&gt;"",J61&lt;&gt;""),1,0)</x:f>
        <x:v>0</x:v>
      </x:c>
      <x:c r="L61" s="43" t="n">
        <x:f>IF(AND(A61&lt;&gt;"",E61&lt;TODAY(),F61&lt;&gt;"Completed",F61&lt;&gt;"Cancelled"),1,0)</x:f>
        <x:v>0</x:v>
      </x:c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3" t="str"/>
      <x:c r="B62" s="43" t="n">
        <x:v>58</x:v>
      </x:c>
      <x:c r="C62" s="43" t="str"/>
      <x:c r="D62" s="43" t="str"/>
      <x:c r="E62" s="52" t="str"/>
      <x:c r="F62" s="43" t="str">
        <x:v>Open</x:v>
      </x:c>
      <x:c r="G62" s="43" t="str"/>
      <x:c r="H62" s="43" t="str"/>
      <x:c r="I62" s="43" t="str"/>
      <x:c r="J62" s="44" t="str"/>
      <x:c r="K62" s="43" t="n">
        <x:f>IF(AND(A62&lt;&gt;"",F62="Completed",G62&lt;&gt;"",H62&lt;&gt;"",I62&lt;&gt;"",J62&lt;&gt;""),1,0)</x:f>
        <x:v>0</x:v>
      </x:c>
      <x:c r="L62" s="43" t="n">
        <x:f>IF(AND(A62&lt;&gt;"",E62&lt;TODAY(),F62&lt;&gt;"Completed",F62&lt;&gt;"Cancelled"),1,0)</x:f>
        <x:v>0</x:v>
      </x:c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3" t="str"/>
      <x:c r="B63" s="43" t="n">
        <x:v>59</x:v>
      </x:c>
      <x:c r="C63" s="43" t="str"/>
      <x:c r="D63" s="43" t="str"/>
      <x:c r="E63" s="52" t="str"/>
      <x:c r="F63" s="43" t="str">
        <x:v>Open</x:v>
      </x:c>
      <x:c r="G63" s="43" t="str"/>
      <x:c r="H63" s="43" t="str"/>
      <x:c r="I63" s="43" t="str"/>
      <x:c r="J63" s="44" t="str"/>
      <x:c r="K63" s="43" t="n">
        <x:f>IF(AND(A63&lt;&gt;"",F63="Completed",G63&lt;&gt;"",H63&lt;&gt;"",I63&lt;&gt;"",J63&lt;&gt;""),1,0)</x:f>
        <x:v>0</x:v>
      </x:c>
      <x:c r="L63" s="43" t="n">
        <x:f>IF(AND(A63&lt;&gt;"",E63&lt;TODAY(),F63&lt;&gt;"Completed",F63&lt;&gt;"Cancelled"),1,0)</x:f>
        <x:v>0</x:v>
      </x:c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3" t="str"/>
      <x:c r="B64" s="43" t="n">
        <x:v>60</x:v>
      </x:c>
      <x:c r="C64" s="43" t="str"/>
      <x:c r="D64" s="43" t="str"/>
      <x:c r="E64" s="52" t="str"/>
      <x:c r="F64" s="43" t="str">
        <x:v>Open</x:v>
      </x:c>
      <x:c r="G64" s="43" t="str"/>
      <x:c r="H64" s="43" t="str"/>
      <x:c r="I64" s="43" t="str"/>
      <x:c r="J64" s="44" t="str"/>
      <x:c r="K64" s="43" t="n">
        <x:f>IF(AND(A64&lt;&gt;"",F64="Completed",G64&lt;&gt;"",H64&lt;&gt;"",I64&lt;&gt;"",J64&lt;&gt;""),1,0)</x:f>
        <x:v>0</x:v>
      </x:c>
      <x:c r="L64" s="43" t="n">
        <x:f>IF(AND(A64&lt;&gt;"",E64&lt;TODAY(),F64&lt;&gt;"Completed",F64&lt;&gt;"Cancelled"),1,0)</x:f>
        <x:v>0</x:v>
      </x:c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3" t="str"/>
      <x:c r="B65" s="43" t="n">
        <x:v>61</x:v>
      </x:c>
      <x:c r="C65" s="43" t="str"/>
      <x:c r="D65" s="43" t="str"/>
      <x:c r="E65" s="52" t="str"/>
      <x:c r="F65" s="43" t="str">
        <x:v>Open</x:v>
      </x:c>
      <x:c r="G65" s="43" t="str"/>
      <x:c r="H65" s="43" t="str"/>
      <x:c r="I65" s="43" t="str"/>
      <x:c r="J65" s="44" t="str"/>
      <x:c r="K65" s="43" t="n">
        <x:f>IF(AND(A65&lt;&gt;"",F65="Completed",G65&lt;&gt;"",H65&lt;&gt;"",I65&lt;&gt;"",J65&lt;&gt;""),1,0)</x:f>
        <x:v>0</x:v>
      </x:c>
      <x:c r="L65" s="43" t="n">
        <x:f>IF(AND(A65&lt;&gt;"",E65&lt;TODAY(),F65&lt;&gt;"Completed",F65&lt;&gt;"Cancelled"),1,0)</x:f>
        <x:v>0</x:v>
      </x:c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3" t="str"/>
      <x:c r="B66" s="43" t="n">
        <x:v>62</x:v>
      </x:c>
      <x:c r="C66" s="43" t="str"/>
      <x:c r="D66" s="43" t="str"/>
      <x:c r="E66" s="52" t="str"/>
      <x:c r="F66" s="43" t="str">
        <x:v>Open</x:v>
      </x:c>
      <x:c r="G66" s="43" t="str"/>
      <x:c r="H66" s="43" t="str"/>
      <x:c r="I66" s="43" t="str"/>
      <x:c r="J66" s="44" t="str"/>
      <x:c r="K66" s="43" t="n">
        <x:f>IF(AND(A66&lt;&gt;"",F66="Completed",G66&lt;&gt;"",H66&lt;&gt;"",I66&lt;&gt;"",J66&lt;&gt;""),1,0)</x:f>
        <x:v>0</x:v>
      </x:c>
      <x:c r="L66" s="43" t="n">
        <x:f>IF(AND(A66&lt;&gt;"",E66&lt;TODAY(),F66&lt;&gt;"Completed",F66&lt;&gt;"Cancelled"),1,0)</x:f>
        <x:v>0</x:v>
      </x:c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3" t="str"/>
      <x:c r="B67" s="43" t="n">
        <x:v>63</x:v>
      </x:c>
      <x:c r="C67" s="43" t="str"/>
      <x:c r="D67" s="43" t="str"/>
      <x:c r="E67" s="52" t="str"/>
      <x:c r="F67" s="43" t="str">
        <x:v>Open</x:v>
      </x:c>
      <x:c r="G67" s="43" t="str"/>
      <x:c r="H67" s="43" t="str"/>
      <x:c r="I67" s="43" t="str"/>
      <x:c r="J67" s="44" t="str"/>
      <x:c r="K67" s="43" t="n">
        <x:f>IF(AND(A67&lt;&gt;"",F67="Completed",G67&lt;&gt;"",H67&lt;&gt;"",I67&lt;&gt;"",J67&lt;&gt;""),1,0)</x:f>
        <x:v>0</x:v>
      </x:c>
      <x:c r="L67" s="43" t="n">
        <x:f>IF(AND(A67&lt;&gt;"",E67&lt;TODAY(),F67&lt;&gt;"Completed",F67&lt;&gt;"Cancelled"),1,0)</x:f>
        <x:v>0</x:v>
      </x:c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3" t="str"/>
      <x:c r="B68" s="43" t="n">
        <x:v>64</x:v>
      </x:c>
      <x:c r="C68" s="43" t="str"/>
      <x:c r="D68" s="43" t="str"/>
      <x:c r="E68" s="52" t="str"/>
      <x:c r="F68" s="43" t="str">
        <x:v>Open</x:v>
      </x:c>
      <x:c r="G68" s="43" t="str"/>
      <x:c r="H68" s="43" t="str"/>
      <x:c r="I68" s="43" t="str"/>
      <x:c r="J68" s="44" t="str"/>
      <x:c r="K68" s="43" t="n">
        <x:f>IF(AND(A68&lt;&gt;"",F68="Completed",G68&lt;&gt;"",H68&lt;&gt;"",I68&lt;&gt;"",J68&lt;&gt;""),1,0)</x:f>
        <x:v>0</x:v>
      </x:c>
      <x:c r="L68" s="43" t="n">
        <x:f>IF(AND(A68&lt;&gt;"",E68&lt;TODAY(),F68&lt;&gt;"Completed",F68&lt;&gt;"Cancelled"),1,0)</x:f>
        <x:v>0</x:v>
      </x:c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3" t="str"/>
      <x:c r="B69" s="43" t="n">
        <x:v>65</x:v>
      </x:c>
      <x:c r="C69" s="43" t="str"/>
      <x:c r="D69" s="43" t="str"/>
      <x:c r="E69" s="52" t="str"/>
      <x:c r="F69" s="43" t="str">
        <x:v>Open</x:v>
      </x:c>
      <x:c r="G69" s="43" t="str"/>
      <x:c r="H69" s="43" t="str"/>
      <x:c r="I69" s="43" t="str"/>
      <x:c r="J69" s="44" t="str"/>
      <x:c r="K69" s="43" t="n">
        <x:f>IF(AND(A69&lt;&gt;"",F69="Completed",G69&lt;&gt;"",H69&lt;&gt;"",I69&lt;&gt;"",J69&lt;&gt;""),1,0)</x:f>
        <x:v>0</x:v>
      </x:c>
      <x:c r="L69" s="43" t="n">
        <x:f>IF(AND(A69&lt;&gt;"",E69&lt;TODAY(),F69&lt;&gt;"Completed",F69&lt;&gt;"Cancelled"),1,0)</x:f>
        <x:v>0</x:v>
      </x:c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3" t="str"/>
      <x:c r="B70" s="43" t="n">
        <x:v>66</x:v>
      </x:c>
      <x:c r="C70" s="43" t="str"/>
      <x:c r="D70" s="43" t="str"/>
      <x:c r="E70" s="52" t="str"/>
      <x:c r="F70" s="43" t="str">
        <x:v>Open</x:v>
      </x:c>
      <x:c r="G70" s="43" t="str"/>
      <x:c r="H70" s="43" t="str"/>
      <x:c r="I70" s="43" t="str"/>
      <x:c r="J70" s="44" t="str"/>
      <x:c r="K70" s="43" t="n">
        <x:f>IF(AND(A70&lt;&gt;"",F70="Completed",G70&lt;&gt;"",H70&lt;&gt;"",I70&lt;&gt;"",J70&lt;&gt;""),1,0)</x:f>
        <x:v>0</x:v>
      </x:c>
      <x:c r="L70" s="43" t="n">
        <x:f>IF(AND(A70&lt;&gt;"",E70&lt;TODAY(),F70&lt;&gt;"Completed",F70&lt;&gt;"Cancelled"),1,0)</x:f>
        <x:v>0</x:v>
      </x:c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3" t="str"/>
      <x:c r="B71" s="43" t="n">
        <x:v>67</x:v>
      </x:c>
      <x:c r="C71" s="43" t="str"/>
      <x:c r="D71" s="43" t="str"/>
      <x:c r="E71" s="52" t="str"/>
      <x:c r="F71" s="43" t="str">
        <x:v>Open</x:v>
      </x:c>
      <x:c r="G71" s="43" t="str"/>
      <x:c r="H71" s="43" t="str"/>
      <x:c r="I71" s="43" t="str"/>
      <x:c r="J71" s="44" t="str"/>
      <x:c r="K71" s="43" t="n">
        <x:f>IF(AND(A71&lt;&gt;"",F71="Completed",G71&lt;&gt;"",H71&lt;&gt;"",I71&lt;&gt;"",J71&lt;&gt;""),1,0)</x:f>
        <x:v>0</x:v>
      </x:c>
      <x:c r="L71" s="43" t="n">
        <x:f>IF(AND(A71&lt;&gt;"",E71&lt;TODAY(),F71&lt;&gt;"Completed",F71&lt;&gt;"Cancelled"),1,0)</x:f>
        <x:v>0</x:v>
      </x:c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3" t="str"/>
      <x:c r="B72" s="43" t="n">
        <x:v>68</x:v>
      </x:c>
      <x:c r="C72" s="43" t="str"/>
      <x:c r="D72" s="43" t="str"/>
      <x:c r="E72" s="52" t="str"/>
      <x:c r="F72" s="43" t="str">
        <x:v>Open</x:v>
      </x:c>
      <x:c r="G72" s="43" t="str"/>
      <x:c r="H72" s="43" t="str"/>
      <x:c r="I72" s="43" t="str"/>
      <x:c r="J72" s="44" t="str"/>
      <x:c r="K72" s="43" t="n">
        <x:f>IF(AND(A72&lt;&gt;"",F72="Completed",G72&lt;&gt;"",H72&lt;&gt;"",I72&lt;&gt;"",J72&lt;&gt;""),1,0)</x:f>
        <x:v>0</x:v>
      </x:c>
      <x:c r="L72" s="43" t="n">
        <x:f>IF(AND(A72&lt;&gt;"",E72&lt;TODAY(),F72&lt;&gt;"Completed",F72&lt;&gt;"Cancelled"),1,0)</x:f>
        <x:v>0</x:v>
      </x:c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3" t="str"/>
      <x:c r="B73" s="43" t="n">
        <x:v>69</x:v>
      </x:c>
      <x:c r="C73" s="43" t="str"/>
      <x:c r="D73" s="43" t="str"/>
      <x:c r="E73" s="52" t="str"/>
      <x:c r="F73" s="43" t="str">
        <x:v>Open</x:v>
      </x:c>
      <x:c r="G73" s="43" t="str"/>
      <x:c r="H73" s="43" t="str"/>
      <x:c r="I73" s="43" t="str"/>
      <x:c r="J73" s="44" t="str"/>
      <x:c r="K73" s="43" t="n">
        <x:f>IF(AND(A73&lt;&gt;"",F73="Completed",G73&lt;&gt;"",H73&lt;&gt;"",I73&lt;&gt;"",J73&lt;&gt;""),1,0)</x:f>
        <x:v>0</x:v>
      </x:c>
      <x:c r="L73" s="43" t="n">
        <x:f>IF(AND(A73&lt;&gt;"",E73&lt;TODAY(),F73&lt;&gt;"Completed",F73&lt;&gt;"Cancelled"),1,0)</x:f>
        <x:v>0</x:v>
      </x:c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3" t="str"/>
      <x:c r="B74" s="43" t="n">
        <x:v>70</x:v>
      </x:c>
      <x:c r="C74" s="43" t="str"/>
      <x:c r="D74" s="43" t="str"/>
      <x:c r="E74" s="52" t="str"/>
      <x:c r="F74" s="43" t="str">
        <x:v>Open</x:v>
      </x:c>
      <x:c r="G74" s="43" t="str"/>
      <x:c r="H74" s="43" t="str"/>
      <x:c r="I74" s="43" t="str"/>
      <x:c r="J74" s="44" t="str"/>
      <x:c r="K74" s="43" t="n">
        <x:f>IF(AND(A74&lt;&gt;"",F74="Completed",G74&lt;&gt;"",H74&lt;&gt;"",I74&lt;&gt;"",J74&lt;&gt;""),1,0)</x:f>
        <x:v>0</x:v>
      </x:c>
      <x:c r="L74" s="43" t="n">
        <x:f>IF(AND(A74&lt;&gt;"",E74&lt;TODAY(),F74&lt;&gt;"Completed",F74&lt;&gt;"Cancelled"),1,0)</x:f>
        <x:v>0</x:v>
      </x:c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3" t="str"/>
      <x:c r="B75" s="43" t="n">
        <x:v>71</x:v>
      </x:c>
      <x:c r="C75" s="43" t="str"/>
      <x:c r="D75" s="43" t="str"/>
      <x:c r="E75" s="52" t="str"/>
      <x:c r="F75" s="43" t="str">
        <x:v>Open</x:v>
      </x:c>
      <x:c r="G75" s="43" t="str"/>
      <x:c r="H75" s="43" t="str"/>
      <x:c r="I75" s="43" t="str"/>
      <x:c r="J75" s="44" t="str"/>
      <x:c r="K75" s="43" t="n">
        <x:f>IF(AND(A75&lt;&gt;"",F75="Completed",G75&lt;&gt;"",H75&lt;&gt;"",I75&lt;&gt;"",J75&lt;&gt;""),1,0)</x:f>
        <x:v>0</x:v>
      </x:c>
      <x:c r="L75" s="43" t="n">
        <x:f>IF(AND(A75&lt;&gt;"",E75&lt;TODAY(),F75&lt;&gt;"Completed",F75&lt;&gt;"Cancelled"),1,0)</x:f>
        <x:v>0</x:v>
      </x:c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3" t="str"/>
      <x:c r="B76" s="43" t="n">
        <x:v>72</x:v>
      </x:c>
      <x:c r="C76" s="43" t="str"/>
      <x:c r="D76" s="43" t="str"/>
      <x:c r="E76" s="52" t="str"/>
      <x:c r="F76" s="43" t="str">
        <x:v>Open</x:v>
      </x:c>
      <x:c r="G76" s="43" t="str"/>
      <x:c r="H76" s="43" t="str"/>
      <x:c r="I76" s="43" t="str"/>
      <x:c r="J76" s="44" t="str"/>
      <x:c r="K76" s="43" t="n">
        <x:f>IF(AND(A76&lt;&gt;"",F76="Completed",G76&lt;&gt;"",H76&lt;&gt;"",I76&lt;&gt;"",J76&lt;&gt;""),1,0)</x:f>
        <x:v>0</x:v>
      </x:c>
      <x:c r="L76" s="43" t="n">
        <x:f>IF(AND(A76&lt;&gt;"",E76&lt;TODAY(),F76&lt;&gt;"Completed",F76&lt;&gt;"Cancelled"),1,0)</x:f>
        <x:v>0</x:v>
      </x:c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3" t="str"/>
      <x:c r="B77" s="43" t="n">
        <x:v>73</x:v>
      </x:c>
      <x:c r="C77" s="43" t="str"/>
      <x:c r="D77" s="43" t="str"/>
      <x:c r="E77" s="52" t="str"/>
      <x:c r="F77" s="43" t="str">
        <x:v>Open</x:v>
      </x:c>
      <x:c r="G77" s="43" t="str"/>
      <x:c r="H77" s="43" t="str"/>
      <x:c r="I77" s="43" t="str"/>
      <x:c r="J77" s="44" t="str"/>
      <x:c r="K77" s="43" t="n">
        <x:f>IF(AND(A77&lt;&gt;"",F77="Completed",G77&lt;&gt;"",H77&lt;&gt;"",I77&lt;&gt;"",J77&lt;&gt;""),1,0)</x:f>
        <x:v>0</x:v>
      </x:c>
      <x:c r="L77" s="43" t="n">
        <x:f>IF(AND(A77&lt;&gt;"",E77&lt;TODAY(),F77&lt;&gt;"Completed",F77&lt;&gt;"Cancelled"),1,0)</x:f>
        <x:v>0</x:v>
      </x:c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3" t="str"/>
      <x:c r="B78" s="43" t="n">
        <x:v>74</x:v>
      </x:c>
      <x:c r="C78" s="43" t="str"/>
      <x:c r="D78" s="43" t="str"/>
      <x:c r="E78" s="52" t="str"/>
      <x:c r="F78" s="43" t="str">
        <x:v>Open</x:v>
      </x:c>
      <x:c r="G78" s="43" t="str"/>
      <x:c r="H78" s="43" t="str"/>
      <x:c r="I78" s="43" t="str"/>
      <x:c r="J78" s="44" t="str"/>
      <x:c r="K78" s="43" t="n">
        <x:f>IF(AND(A78&lt;&gt;"",F78="Completed",G78&lt;&gt;"",H78&lt;&gt;"",I78&lt;&gt;"",J78&lt;&gt;""),1,0)</x:f>
        <x:v>0</x:v>
      </x:c>
      <x:c r="L78" s="43" t="n">
        <x:f>IF(AND(A78&lt;&gt;"",E78&lt;TODAY(),F78&lt;&gt;"Completed",F78&lt;&gt;"Cancelled"),1,0)</x:f>
        <x:v>0</x:v>
      </x:c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3" t="str"/>
      <x:c r="B79" s="43" t="n">
        <x:v>75</x:v>
      </x:c>
      <x:c r="C79" s="43" t="str"/>
      <x:c r="D79" s="43" t="str"/>
      <x:c r="E79" s="52" t="str"/>
      <x:c r="F79" s="43" t="str">
        <x:v>Open</x:v>
      </x:c>
      <x:c r="G79" s="43" t="str"/>
      <x:c r="H79" s="43" t="str"/>
      <x:c r="I79" s="43" t="str"/>
      <x:c r="J79" s="44" t="str"/>
      <x:c r="K79" s="43" t="n">
        <x:f>IF(AND(A79&lt;&gt;"",F79="Completed",G79&lt;&gt;"",H79&lt;&gt;"",I79&lt;&gt;"",J79&lt;&gt;""),1,0)</x:f>
        <x:v>0</x:v>
      </x:c>
      <x:c r="L79" s="43" t="n">
        <x:f>IF(AND(A79&lt;&gt;"",E79&lt;TODAY(),F79&lt;&gt;"Completed",F79&lt;&gt;"Cancelled"),1,0)</x:f>
        <x:v>0</x:v>
      </x:c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3" t="str"/>
      <x:c r="B80" s="43" t="n">
        <x:v>76</x:v>
      </x:c>
      <x:c r="C80" s="43" t="str"/>
      <x:c r="D80" s="43" t="str"/>
      <x:c r="E80" s="52" t="str"/>
      <x:c r="F80" s="43" t="str">
        <x:v>Open</x:v>
      </x:c>
      <x:c r="G80" s="43" t="str"/>
      <x:c r="H80" s="43" t="str"/>
      <x:c r="I80" s="43" t="str"/>
      <x:c r="J80" s="44" t="str"/>
      <x:c r="K80" s="43" t="n">
        <x:f>IF(AND(A80&lt;&gt;"",F80="Completed",G80&lt;&gt;"",H80&lt;&gt;"",I80&lt;&gt;"",J80&lt;&gt;""),1,0)</x:f>
        <x:v>0</x:v>
      </x:c>
      <x:c r="L80" s="43" t="n">
        <x:f>IF(AND(A80&lt;&gt;"",E80&lt;TODAY(),F80&lt;&gt;"Completed",F80&lt;&gt;"Cancelled"),1,0)</x:f>
        <x:v>0</x:v>
      </x:c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3" t="str"/>
      <x:c r="B81" s="43" t="n">
        <x:v>77</x:v>
      </x:c>
      <x:c r="C81" s="43" t="str"/>
      <x:c r="D81" s="43" t="str"/>
      <x:c r="E81" s="52" t="str"/>
      <x:c r="F81" s="43" t="str">
        <x:v>Open</x:v>
      </x:c>
      <x:c r="G81" s="43" t="str"/>
      <x:c r="H81" s="43" t="str"/>
      <x:c r="I81" s="43" t="str"/>
      <x:c r="J81" s="44" t="str"/>
      <x:c r="K81" s="43" t="n">
        <x:f>IF(AND(A81&lt;&gt;"",F81="Completed",G81&lt;&gt;"",H81&lt;&gt;"",I81&lt;&gt;"",J81&lt;&gt;""),1,0)</x:f>
        <x:v>0</x:v>
      </x:c>
      <x:c r="L81" s="43" t="n">
        <x:f>IF(AND(A81&lt;&gt;"",E81&lt;TODAY(),F81&lt;&gt;"Completed",F81&lt;&gt;"Cancelled"),1,0)</x:f>
        <x:v>0</x:v>
      </x:c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3" t="str"/>
      <x:c r="B82" s="43" t="n">
        <x:v>78</x:v>
      </x:c>
      <x:c r="C82" s="43" t="str"/>
      <x:c r="D82" s="43" t="str"/>
      <x:c r="E82" s="52" t="str"/>
      <x:c r="F82" s="43" t="str">
        <x:v>Open</x:v>
      </x:c>
      <x:c r="G82" s="43" t="str"/>
      <x:c r="H82" s="43" t="str"/>
      <x:c r="I82" s="43" t="str"/>
      <x:c r="J82" s="44" t="str"/>
      <x:c r="K82" s="43" t="n">
        <x:f>IF(AND(A82&lt;&gt;"",F82="Completed",G82&lt;&gt;"",H82&lt;&gt;"",I82&lt;&gt;"",J82&lt;&gt;""),1,0)</x:f>
        <x:v>0</x:v>
      </x:c>
      <x:c r="L82" s="43" t="n">
        <x:f>IF(AND(A82&lt;&gt;"",E82&lt;TODAY(),F82&lt;&gt;"Completed",F82&lt;&gt;"Cancelled"),1,0)</x:f>
        <x:v>0</x:v>
      </x:c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3" t="str"/>
      <x:c r="B83" s="43" t="n">
        <x:v>79</x:v>
      </x:c>
      <x:c r="C83" s="43" t="str"/>
      <x:c r="D83" s="43" t="str"/>
      <x:c r="E83" s="52" t="str"/>
      <x:c r="F83" s="43" t="str">
        <x:v>Open</x:v>
      </x:c>
      <x:c r="G83" s="43" t="str"/>
      <x:c r="H83" s="43" t="str"/>
      <x:c r="I83" s="43" t="str"/>
      <x:c r="J83" s="44" t="str"/>
      <x:c r="K83" s="43" t="n">
        <x:f>IF(AND(A83&lt;&gt;"",F83="Completed",G83&lt;&gt;"",H83&lt;&gt;"",I83&lt;&gt;"",J83&lt;&gt;""),1,0)</x:f>
        <x:v>0</x:v>
      </x:c>
      <x:c r="L83" s="43" t="n">
        <x:f>IF(AND(A83&lt;&gt;"",E83&lt;TODAY(),F83&lt;&gt;"Completed",F83&lt;&gt;"Cancelled"),1,0)</x:f>
        <x:v>0</x:v>
      </x:c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3" t="str"/>
      <x:c r="B84" s="43" t="n">
        <x:v>80</x:v>
      </x:c>
      <x:c r="C84" s="43" t="str"/>
      <x:c r="D84" s="43" t="str"/>
      <x:c r="E84" s="52" t="str"/>
      <x:c r="F84" s="43" t="str">
        <x:v>Open</x:v>
      </x:c>
      <x:c r="G84" s="43" t="str"/>
      <x:c r="H84" s="43" t="str"/>
      <x:c r="I84" s="43" t="str"/>
      <x:c r="J84" s="44" t="str"/>
      <x:c r="K84" s="43" t="n">
        <x:f>IF(AND(A84&lt;&gt;"",F84="Completed",G84&lt;&gt;"",H84&lt;&gt;"",I84&lt;&gt;"",J84&lt;&gt;""),1,0)</x:f>
        <x:v>0</x:v>
      </x:c>
      <x:c r="L84" s="43" t="n">
        <x:f>IF(AND(A84&lt;&gt;"",E84&lt;TODAY(),F84&lt;&gt;"Completed",F84&lt;&gt;"Cancelled"),1,0)</x:f>
        <x:v>0</x:v>
      </x:c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3" t="str"/>
      <x:c r="B85" s="43" t="n">
        <x:v>81</x:v>
      </x:c>
      <x:c r="C85" s="43" t="str"/>
      <x:c r="D85" s="43" t="str"/>
      <x:c r="E85" s="52" t="str"/>
      <x:c r="F85" s="43" t="str">
        <x:v>Open</x:v>
      </x:c>
      <x:c r="G85" s="43" t="str"/>
      <x:c r="H85" s="43" t="str"/>
      <x:c r="I85" s="43" t="str"/>
      <x:c r="J85" s="44" t="str"/>
      <x:c r="K85" s="43" t="n">
        <x:f>IF(AND(A85&lt;&gt;"",F85="Completed",G85&lt;&gt;"",H85&lt;&gt;"",I85&lt;&gt;"",J85&lt;&gt;""),1,0)</x:f>
        <x:v>0</x:v>
      </x:c>
      <x:c r="L85" s="43" t="n">
        <x:f>IF(AND(A85&lt;&gt;"",E85&lt;TODAY(),F85&lt;&gt;"Completed",F85&lt;&gt;"Cancelled"),1,0)</x:f>
        <x:v>0</x:v>
      </x:c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3" t="str"/>
      <x:c r="B86" s="43" t="n">
        <x:v>82</x:v>
      </x:c>
      <x:c r="C86" s="43" t="str"/>
      <x:c r="D86" s="43" t="str"/>
      <x:c r="E86" s="52" t="str"/>
      <x:c r="F86" s="43" t="str">
        <x:v>Open</x:v>
      </x:c>
      <x:c r="G86" s="43" t="str"/>
      <x:c r="H86" s="43" t="str"/>
      <x:c r="I86" s="43" t="str"/>
      <x:c r="J86" s="44" t="str"/>
      <x:c r="K86" s="43" t="n">
        <x:f>IF(AND(A86&lt;&gt;"",F86="Completed",G86&lt;&gt;"",H86&lt;&gt;"",I86&lt;&gt;"",J86&lt;&gt;""),1,0)</x:f>
        <x:v>0</x:v>
      </x:c>
      <x:c r="L86" s="43" t="n">
        <x:f>IF(AND(A86&lt;&gt;"",E86&lt;TODAY(),F86&lt;&gt;"Completed",F86&lt;&gt;"Cancelled"),1,0)</x:f>
        <x:v>0</x:v>
      </x:c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3" t="str"/>
      <x:c r="B87" s="43" t="n">
        <x:v>83</x:v>
      </x:c>
      <x:c r="C87" s="43" t="str"/>
      <x:c r="D87" s="43" t="str"/>
      <x:c r="E87" s="52" t="str"/>
      <x:c r="F87" s="43" t="str">
        <x:v>Open</x:v>
      </x:c>
      <x:c r="G87" s="43" t="str"/>
      <x:c r="H87" s="43" t="str"/>
      <x:c r="I87" s="43" t="str"/>
      <x:c r="J87" s="44" t="str"/>
      <x:c r="K87" s="43" t="n">
        <x:f>IF(AND(A87&lt;&gt;"",F87="Completed",G87&lt;&gt;"",H87&lt;&gt;"",I87&lt;&gt;"",J87&lt;&gt;""),1,0)</x:f>
        <x:v>0</x:v>
      </x:c>
      <x:c r="L87" s="43" t="n">
        <x:f>IF(AND(A87&lt;&gt;"",E87&lt;TODAY(),F87&lt;&gt;"Completed",F87&lt;&gt;"Cancelled"),1,0)</x:f>
        <x:v>0</x:v>
      </x:c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3" t="str"/>
      <x:c r="B88" s="43" t="n">
        <x:v>84</x:v>
      </x:c>
      <x:c r="C88" s="43" t="str"/>
      <x:c r="D88" s="43" t="str"/>
      <x:c r="E88" s="52" t="str"/>
      <x:c r="F88" s="43" t="str">
        <x:v>Open</x:v>
      </x:c>
      <x:c r="G88" s="43" t="str"/>
      <x:c r="H88" s="43" t="str"/>
      <x:c r="I88" s="43" t="str"/>
      <x:c r="J88" s="44" t="str"/>
      <x:c r="K88" s="43" t="n">
        <x:f>IF(AND(A88&lt;&gt;"",F88="Completed",G88&lt;&gt;"",H88&lt;&gt;"",I88&lt;&gt;"",J88&lt;&gt;""),1,0)</x:f>
        <x:v>0</x:v>
      </x:c>
      <x:c r="L88" s="43" t="n">
        <x:f>IF(AND(A88&lt;&gt;"",E88&lt;TODAY(),F88&lt;&gt;"Completed",F88&lt;&gt;"Cancelled"),1,0)</x:f>
        <x:v>0</x:v>
      </x:c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3" t="str"/>
      <x:c r="B89" s="43" t="n">
        <x:v>85</x:v>
      </x:c>
      <x:c r="C89" s="43" t="str"/>
      <x:c r="D89" s="43" t="str"/>
      <x:c r="E89" s="52" t="str"/>
      <x:c r="F89" s="43" t="str">
        <x:v>Open</x:v>
      </x:c>
      <x:c r="G89" s="43" t="str"/>
      <x:c r="H89" s="43" t="str"/>
      <x:c r="I89" s="43" t="str"/>
      <x:c r="J89" s="44" t="str"/>
      <x:c r="K89" s="43" t="n">
        <x:f>IF(AND(A89&lt;&gt;"",F89="Completed",G89&lt;&gt;"",H89&lt;&gt;"",I89&lt;&gt;"",J89&lt;&gt;""),1,0)</x:f>
        <x:v>0</x:v>
      </x:c>
      <x:c r="L89" s="43" t="n">
        <x:f>IF(AND(A89&lt;&gt;"",E89&lt;TODAY(),F89&lt;&gt;"Completed",F89&lt;&gt;"Cancelled"),1,0)</x:f>
        <x:v>0</x:v>
      </x:c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3" t="str"/>
      <x:c r="B90" s="43" t="n">
        <x:v>86</x:v>
      </x:c>
      <x:c r="C90" s="43" t="str"/>
      <x:c r="D90" s="43" t="str"/>
      <x:c r="E90" s="52" t="str"/>
      <x:c r="F90" s="43" t="str">
        <x:v>Open</x:v>
      </x:c>
      <x:c r="G90" s="43" t="str"/>
      <x:c r="H90" s="43" t="str"/>
      <x:c r="I90" s="43" t="str"/>
      <x:c r="J90" s="44" t="str"/>
      <x:c r="K90" s="43" t="n">
        <x:f>IF(AND(A90&lt;&gt;"",F90="Completed",G90&lt;&gt;"",H90&lt;&gt;"",I90&lt;&gt;"",J90&lt;&gt;""),1,0)</x:f>
        <x:v>0</x:v>
      </x:c>
      <x:c r="L90" s="43" t="n">
        <x:f>IF(AND(A90&lt;&gt;"",E90&lt;TODAY(),F90&lt;&gt;"Completed",F90&lt;&gt;"Cancelled"),1,0)</x:f>
        <x:v>0</x:v>
      </x:c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3" t="str"/>
      <x:c r="B91" s="43" t="n">
        <x:v>87</x:v>
      </x:c>
      <x:c r="C91" s="43" t="str"/>
      <x:c r="D91" s="43" t="str"/>
      <x:c r="E91" s="52" t="str"/>
      <x:c r="F91" s="43" t="str">
        <x:v>Open</x:v>
      </x:c>
      <x:c r="G91" s="43" t="str"/>
      <x:c r="H91" s="43" t="str"/>
      <x:c r="I91" s="43" t="str"/>
      <x:c r="J91" s="44" t="str"/>
      <x:c r="K91" s="43" t="n">
        <x:f>IF(AND(A91&lt;&gt;"",F91="Completed",G91&lt;&gt;"",H91&lt;&gt;"",I91&lt;&gt;"",J91&lt;&gt;""),1,0)</x:f>
        <x:v>0</x:v>
      </x:c>
      <x:c r="L91" s="43" t="n">
        <x:f>IF(AND(A91&lt;&gt;"",E91&lt;TODAY(),F91&lt;&gt;"Completed",F91&lt;&gt;"Cancelled"),1,0)</x:f>
        <x:v>0</x:v>
      </x:c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3" t="str"/>
      <x:c r="B92" s="43" t="n">
        <x:v>88</x:v>
      </x:c>
      <x:c r="C92" s="43" t="str"/>
      <x:c r="D92" s="43" t="str"/>
      <x:c r="E92" s="52" t="str"/>
      <x:c r="F92" s="43" t="str">
        <x:v>Open</x:v>
      </x:c>
      <x:c r="G92" s="43" t="str"/>
      <x:c r="H92" s="43" t="str"/>
      <x:c r="I92" s="43" t="str"/>
      <x:c r="J92" s="44" t="str"/>
      <x:c r="K92" s="43" t="n">
        <x:f>IF(AND(A92&lt;&gt;"",F92="Completed",G92&lt;&gt;"",H92&lt;&gt;"",I92&lt;&gt;"",J92&lt;&gt;""),1,0)</x:f>
        <x:v>0</x:v>
      </x:c>
      <x:c r="L92" s="43" t="n">
        <x:f>IF(AND(A92&lt;&gt;"",E92&lt;TODAY(),F92&lt;&gt;"Completed",F92&lt;&gt;"Cancelled"),1,0)</x:f>
        <x:v>0</x:v>
      </x:c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3" t="str"/>
      <x:c r="B93" s="43" t="n">
        <x:v>89</x:v>
      </x:c>
      <x:c r="C93" s="43" t="str"/>
      <x:c r="D93" s="43" t="str"/>
      <x:c r="E93" s="52" t="str"/>
      <x:c r="F93" s="43" t="str">
        <x:v>Open</x:v>
      </x:c>
      <x:c r="G93" s="43" t="str"/>
      <x:c r="H93" s="43" t="str"/>
      <x:c r="I93" s="43" t="str"/>
      <x:c r="J93" s="44" t="str"/>
      <x:c r="K93" s="43" t="n">
        <x:f>IF(AND(A93&lt;&gt;"",F93="Completed",G93&lt;&gt;"",H93&lt;&gt;"",I93&lt;&gt;"",J93&lt;&gt;""),1,0)</x:f>
        <x:v>0</x:v>
      </x:c>
      <x:c r="L93" s="43" t="n">
        <x:f>IF(AND(A93&lt;&gt;"",E93&lt;TODAY(),F93&lt;&gt;"Completed",F93&lt;&gt;"Cancelled"),1,0)</x:f>
        <x:v>0</x:v>
      </x:c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3" t="str"/>
      <x:c r="B94" s="43" t="n">
        <x:v>90</x:v>
      </x:c>
      <x:c r="C94" s="43" t="str"/>
      <x:c r="D94" s="43" t="str"/>
      <x:c r="E94" s="52" t="str"/>
      <x:c r="F94" s="43" t="str">
        <x:v>Open</x:v>
      </x:c>
      <x:c r="G94" s="43" t="str"/>
      <x:c r="H94" s="43" t="str"/>
      <x:c r="I94" s="43" t="str"/>
      <x:c r="J94" s="44" t="str"/>
      <x:c r="K94" s="43" t="n">
        <x:f>IF(AND(A94&lt;&gt;"",F94="Completed",G94&lt;&gt;"",H94&lt;&gt;"",I94&lt;&gt;"",J94&lt;&gt;""),1,0)</x:f>
        <x:v>0</x:v>
      </x:c>
      <x:c r="L94" s="43" t="n">
        <x:f>IF(AND(A94&lt;&gt;"",E94&lt;TODAY(),F94&lt;&gt;"Completed",F94&lt;&gt;"Cancelled"),1,0)</x:f>
        <x:v>0</x:v>
      </x:c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3" t="str"/>
      <x:c r="B95" s="43" t="n">
        <x:v>91</x:v>
      </x:c>
      <x:c r="C95" s="43" t="str"/>
      <x:c r="D95" s="43" t="str"/>
      <x:c r="E95" s="52" t="str"/>
      <x:c r="F95" s="43" t="str">
        <x:v>Open</x:v>
      </x:c>
      <x:c r="G95" s="43" t="str"/>
      <x:c r="H95" s="43" t="str"/>
      <x:c r="I95" s="43" t="str"/>
      <x:c r="J95" s="44" t="str"/>
      <x:c r="K95" s="43" t="n">
        <x:f>IF(AND(A95&lt;&gt;"",F95="Completed",G95&lt;&gt;"",H95&lt;&gt;"",I95&lt;&gt;"",J95&lt;&gt;""),1,0)</x:f>
        <x:v>0</x:v>
      </x:c>
      <x:c r="L95" s="43" t="n">
        <x:f>IF(AND(A95&lt;&gt;"",E95&lt;TODAY(),F95&lt;&gt;"Completed",F95&lt;&gt;"Cancelled"),1,0)</x:f>
        <x:v>0</x:v>
      </x:c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3" t="str"/>
      <x:c r="B96" s="43" t="n">
        <x:v>92</x:v>
      </x:c>
      <x:c r="C96" s="43" t="str"/>
      <x:c r="D96" s="43" t="str"/>
      <x:c r="E96" s="52" t="str"/>
      <x:c r="F96" s="43" t="str">
        <x:v>Open</x:v>
      </x:c>
      <x:c r="G96" s="43" t="str"/>
      <x:c r="H96" s="43" t="str"/>
      <x:c r="I96" s="43" t="str"/>
      <x:c r="J96" s="44" t="str"/>
      <x:c r="K96" s="43" t="n">
        <x:f>IF(AND(A96&lt;&gt;"",F96="Completed",G96&lt;&gt;"",H96&lt;&gt;"",I96&lt;&gt;"",J96&lt;&gt;""),1,0)</x:f>
        <x:v>0</x:v>
      </x:c>
      <x:c r="L96" s="43" t="n">
        <x:f>IF(AND(A96&lt;&gt;"",E96&lt;TODAY(),F96&lt;&gt;"Completed",F96&lt;&gt;"Cancelled"),1,0)</x:f>
        <x:v>0</x:v>
      </x:c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3" t="str"/>
      <x:c r="B97" s="43" t="n">
        <x:v>93</x:v>
      </x:c>
      <x:c r="C97" s="43" t="str"/>
      <x:c r="D97" s="43" t="str"/>
      <x:c r="E97" s="52" t="str"/>
      <x:c r="F97" s="43" t="str">
        <x:v>Open</x:v>
      </x:c>
      <x:c r="G97" s="43" t="str"/>
      <x:c r="H97" s="43" t="str"/>
      <x:c r="I97" s="43" t="str"/>
      <x:c r="J97" s="44" t="str"/>
      <x:c r="K97" s="43" t="n">
        <x:f>IF(AND(A97&lt;&gt;"",F97="Completed",G97&lt;&gt;"",H97&lt;&gt;"",I97&lt;&gt;"",J97&lt;&gt;""),1,0)</x:f>
        <x:v>0</x:v>
      </x:c>
      <x:c r="L97" s="43" t="n">
        <x:f>IF(AND(A97&lt;&gt;"",E97&lt;TODAY(),F97&lt;&gt;"Completed",F97&lt;&gt;"Cancelled"),1,0)</x:f>
        <x:v>0</x:v>
      </x:c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3" t="str"/>
      <x:c r="B98" s="43" t="n">
        <x:v>94</x:v>
      </x:c>
      <x:c r="C98" s="43" t="str"/>
      <x:c r="D98" s="43" t="str"/>
      <x:c r="E98" s="52" t="str"/>
      <x:c r="F98" s="43" t="str">
        <x:v>Open</x:v>
      </x:c>
      <x:c r="G98" s="43" t="str"/>
      <x:c r="H98" s="43" t="str"/>
      <x:c r="I98" s="43" t="str"/>
      <x:c r="J98" s="44" t="str"/>
      <x:c r="K98" s="43" t="n">
        <x:f>IF(AND(A98&lt;&gt;"",F98="Completed",G98&lt;&gt;"",H98&lt;&gt;"",I98&lt;&gt;"",J98&lt;&gt;""),1,0)</x:f>
        <x:v>0</x:v>
      </x:c>
      <x:c r="L98" s="43" t="n">
        <x:f>IF(AND(A98&lt;&gt;"",E98&lt;TODAY(),F98&lt;&gt;"Completed",F98&lt;&gt;"Cancelled"),1,0)</x:f>
        <x:v>0</x:v>
      </x:c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3" t="str"/>
      <x:c r="B99" s="43" t="n">
        <x:v>95</x:v>
      </x:c>
      <x:c r="C99" s="43" t="str"/>
      <x:c r="D99" s="43" t="str"/>
      <x:c r="E99" s="52" t="str"/>
      <x:c r="F99" s="43" t="str">
        <x:v>Open</x:v>
      </x:c>
      <x:c r="G99" s="43" t="str"/>
      <x:c r="H99" s="43" t="str"/>
      <x:c r="I99" s="43" t="str"/>
      <x:c r="J99" s="44" t="str"/>
      <x:c r="K99" s="43" t="n">
        <x:f>IF(AND(A99&lt;&gt;"",F99="Completed",G99&lt;&gt;"",H99&lt;&gt;"",I99&lt;&gt;"",J99&lt;&gt;""),1,0)</x:f>
        <x:v>0</x:v>
      </x:c>
      <x:c r="L99" s="43" t="n">
        <x:f>IF(AND(A99&lt;&gt;"",E99&lt;TODAY(),F99&lt;&gt;"Completed",F99&lt;&gt;"Cancelled"),1,0)</x:f>
        <x:v>0</x:v>
      </x:c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3" t="str"/>
      <x:c r="B100" s="43" t="n">
        <x:v>96</x:v>
      </x:c>
      <x:c r="C100" s="43" t="str"/>
      <x:c r="D100" s="43" t="str"/>
      <x:c r="E100" s="52" t="str"/>
      <x:c r="F100" s="43" t="str">
        <x:v>Open</x:v>
      </x:c>
      <x:c r="G100" s="43" t="str"/>
      <x:c r="H100" s="43" t="str"/>
      <x:c r="I100" s="43" t="str"/>
      <x:c r="J100" s="44" t="str"/>
      <x:c r="K100" s="43" t="n">
        <x:f>IF(AND(A100&lt;&gt;"",F100="Completed",G100&lt;&gt;"",H100&lt;&gt;"",I100&lt;&gt;"",J100&lt;&gt;""),1,0)</x:f>
        <x:v>0</x:v>
      </x:c>
      <x:c r="L100" s="43" t="n">
        <x:f>IF(AND(A100&lt;&gt;"",E100&lt;TODAY(),F100&lt;&gt;"Completed",F100&lt;&gt;"Cancelled"),1,0)</x:f>
        <x:v>0</x:v>
      </x:c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3" t="str"/>
      <x:c r="B101" s="43" t="n">
        <x:v>97</x:v>
      </x:c>
      <x:c r="C101" s="43" t="str"/>
      <x:c r="D101" s="43" t="str"/>
      <x:c r="E101" s="52" t="str"/>
      <x:c r="F101" s="43" t="str">
        <x:v>Open</x:v>
      </x:c>
      <x:c r="G101" s="43" t="str"/>
      <x:c r="H101" s="43" t="str"/>
      <x:c r="I101" s="43" t="str"/>
      <x:c r="J101" s="44" t="str"/>
      <x:c r="K101" s="43" t="n">
        <x:f>IF(AND(A101&lt;&gt;"",F101="Completed",G101&lt;&gt;"",H101&lt;&gt;"",I101&lt;&gt;"",J101&lt;&gt;""),1,0)</x:f>
        <x:v>0</x:v>
      </x:c>
      <x:c r="L101" s="43" t="n">
        <x:f>IF(AND(A101&lt;&gt;"",E101&lt;TODAY(),F101&lt;&gt;"Completed",F101&lt;&gt;"Cancelled"),1,0)</x:f>
        <x:v>0</x:v>
      </x:c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3" t="str"/>
      <x:c r="B102" s="43" t="n">
        <x:v>98</x:v>
      </x:c>
      <x:c r="C102" s="43" t="str"/>
      <x:c r="D102" s="43" t="str"/>
      <x:c r="E102" s="52" t="str"/>
      <x:c r="F102" s="43" t="str">
        <x:v>Open</x:v>
      </x:c>
      <x:c r="G102" s="43" t="str"/>
      <x:c r="H102" s="43" t="str"/>
      <x:c r="I102" s="43" t="str"/>
      <x:c r="J102" s="44" t="str"/>
      <x:c r="K102" s="43" t="n">
        <x:f>IF(AND(A102&lt;&gt;"",F102="Completed",G102&lt;&gt;"",H102&lt;&gt;"",I102&lt;&gt;"",J102&lt;&gt;""),1,0)</x:f>
        <x:v>0</x:v>
      </x:c>
      <x:c r="L102" s="43" t="n">
        <x:f>IF(AND(A102&lt;&gt;"",E102&lt;TODAY(),F102&lt;&gt;"Completed",F102&lt;&gt;"Cancelled"),1,0)</x:f>
        <x:v>0</x:v>
      </x:c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3" t="str"/>
      <x:c r="B103" s="43" t="n">
        <x:v>99</x:v>
      </x:c>
      <x:c r="C103" s="43" t="str"/>
      <x:c r="D103" s="43" t="str"/>
      <x:c r="E103" s="52" t="str"/>
      <x:c r="F103" s="43" t="str">
        <x:v>Open</x:v>
      </x:c>
      <x:c r="G103" s="43" t="str"/>
      <x:c r="H103" s="43" t="str"/>
      <x:c r="I103" s="43" t="str"/>
      <x:c r="J103" s="44" t="str"/>
      <x:c r="K103" s="43" t="n">
        <x:f>IF(AND(A103&lt;&gt;"",F103="Completed",G103&lt;&gt;"",H103&lt;&gt;"",I103&lt;&gt;"",J103&lt;&gt;""),1,0)</x:f>
        <x:v>0</x:v>
      </x:c>
      <x:c r="L103" s="43" t="n">
        <x:f>IF(AND(A103&lt;&gt;"",E103&lt;TODAY(),F103&lt;&gt;"Completed",F103&lt;&gt;"Cancelled"),1,0)</x:f>
        <x:v>0</x:v>
      </x:c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3" t="str"/>
      <x:c r="B104" s="43" t="n">
        <x:v>100</x:v>
      </x:c>
      <x:c r="C104" s="43" t="str"/>
      <x:c r="D104" s="43" t="str"/>
      <x:c r="E104" s="52" t="str"/>
      <x:c r="F104" s="43" t="str">
        <x:v>Open</x:v>
      </x:c>
      <x:c r="G104" s="43" t="str"/>
      <x:c r="H104" s="43" t="str"/>
      <x:c r="I104" s="43" t="str"/>
      <x:c r="J104" s="44" t="str"/>
      <x:c r="K104" s="43" t="n">
        <x:f>IF(AND(A104&lt;&gt;"",F104="Completed",G104&lt;&gt;"",H104&lt;&gt;"",I104&lt;&gt;"",J104&lt;&gt;""),1,0)</x:f>
        <x:v>0</x:v>
      </x:c>
      <x:c r="L104" s="43" t="n">
        <x:f>IF(AND(A104&lt;&gt;"",E104&lt;TODAY(),F104&lt;&gt;"Completed",F104&lt;&gt;"Cancelled"),1,0)</x:f>
        <x:v>0</x:v>
      </x:c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L2"/>
  </x:mergeCells>
  <x:conditionalFormatting sqref="L5:L104">
    <x:cfRule type="expression" dxfId="0" priority="1">
      <x:formula>L5=1</x:formula>
    </x:cfRule>
  </x:conditionalFormatting>
  <x:dataValidations count="1">
    <x:dataValidation type="list" sqref="F5:F104">
      <x:formula1>_Lists!$D$2:$D$5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f6a7e8115943b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0" hidden="0" customWidth="1"/>
    <x:col min="5" max="5" width="50" hidden="0" customWidth="1"/>
    <x:col min="6" max="6" width="14" hidden="0" customWidth="1"/>
    <x:col min="7" max="7" width="22" hidden="0" customWidth="1"/>
    <x:col min="8" max="8" width="20" hidden="0" customWidth="1"/>
    <x:col min="9" max="9" width="22" hidden="0" customWidth="1"/>
    <x:col min="10" max="10" width="20" hidden="0" customWidth="1"/>
    <x:col min="11" max="11" width="22" hidden="0" customWidth="1"/>
    <x:col min="12" max="12" width="20" hidden="0" customWidth="1"/>
    <x:col min="13" max="13" width="28" hidden="0" customWidth="1"/>
    <x:col min="14" max="14" width="14" hidden="0" customWidth="1"/>
  </x:cols>
  <x:sheetData>
    <x:row r="1">
      <x:c r="A1" s="40" t="str">
        <x:v>طلبات التحويل المنفصلة إلى Finding أوCAPA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Request ID</x:v>
      </x:c>
      <x:c r="B4" s="50" t="str">
        <x:v>Plan Code</x:v>
      </x:c>
      <x:c r="C4" s="50" t="str">
        <x:v>Target Type</x:v>
      </x:c>
      <x:c r="D4" s="50" t="str">
        <x:v>Severity</x:v>
      </x:c>
      <x:c r="E4" s="50" t="str">
        <x:v>Rationale</x:v>
      </x:c>
      <x:c r="F4" s="50" t="str">
        <x:v>Status</x:v>
      </x:c>
      <x:c r="G4" s="50" t="str">
        <x:v>Requested By</x:v>
      </x:c>
      <x:c r="H4" s="50" t="str">
        <x:v>Requested Date</x:v>
      </x:c>
      <x:c r="I4" s="50" t="str">
        <x:v>Decision By</x:v>
      </x:c>
      <x:c r="J4" s="50" t="str">
        <x:v>Decision Date</x:v>
      </x:c>
      <x:c r="K4" s="50" t="str">
        <x:v>Execution By</x:v>
      </x:c>
      <x:c r="L4" s="50" t="str">
        <x:v>Execution Date</x:v>
      </x:c>
      <x:c r="M4" s="50" t="str">
        <x:v>Executed Entity ID</x:v>
      </x:c>
      <x:c r="N4" s="50" t="str">
        <x:v>Guardrail Pass</x:v>
      </x:c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/>
      <x:c r="B5" s="43"/>
      <x:c r="C5" s="43"/>
      <x:c r="D5" s="43"/>
      <x:c r="E5" s="43"/>
      <x:c r="F5" s="43"/>
      <x:c r="G5" s="43"/>
      <x:c r="H5" s="44"/>
      <x:c r="I5" s="43"/>
      <x:c r="J5" s="44"/>
      <x:c r="K5" s="43"/>
      <x:c r="L5" s="44"/>
      <x:c r="M5" s="43"/>
      <x:c r="N5" s="43" t="n">
        <x:f>IF(A5="",0,IF(F5="Executed",IF(AND(I5&lt;&gt;"",J5&lt;&gt;"",K5&lt;&gt;"",L5&lt;&gt;"",M5&lt;&gt;""),1,0),IF(OR(F5="Requested",F5="Approved",F5="Rejected"),1,0)))</x:f>
        <x:v>0</x:v>
      </x:c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/>
      <x:c r="B6" s="43"/>
      <x:c r="C6" s="43"/>
      <x:c r="D6" s="43"/>
      <x:c r="E6" s="43"/>
      <x:c r="F6" s="43"/>
      <x:c r="G6" s="43"/>
      <x:c r="H6" s="44"/>
      <x:c r="I6" s="43"/>
      <x:c r="J6" s="44"/>
      <x:c r="K6" s="43"/>
      <x:c r="L6" s="44"/>
      <x:c r="M6" s="43"/>
      <x:c r="N6" s="43" t="n">
        <x:f>IF(A6="",0,IF(F6="Executed",IF(AND(I6&lt;&gt;"",J6&lt;&gt;"",K6&lt;&gt;"",L6&lt;&gt;"",M6&lt;&gt;""),1,0),IF(OR(F6="Requested",F6="Approved",F6="Rejected"),1,0)))</x:f>
        <x:v>0</x:v>
      </x:c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/>
      <x:c r="B7" s="43"/>
      <x:c r="C7" s="43"/>
      <x:c r="D7" s="43"/>
      <x:c r="E7" s="43"/>
      <x:c r="F7" s="43"/>
      <x:c r="G7" s="43"/>
      <x:c r="H7" s="44"/>
      <x:c r="I7" s="43"/>
      <x:c r="J7" s="44"/>
      <x:c r="K7" s="43"/>
      <x:c r="L7" s="44"/>
      <x:c r="M7" s="43"/>
      <x:c r="N7" s="43" t="n">
        <x:f>IF(A7="",0,IF(F7="Executed",IF(AND(I7&lt;&gt;"",J7&lt;&gt;"",K7&lt;&gt;"",L7&lt;&gt;"",M7&lt;&gt;""),1,0),IF(OR(F7="Requested",F7="Approved",F7="Rejected"),1,0)))</x:f>
        <x:v>0</x:v>
      </x:c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/>
      <x:c r="B8" s="43"/>
      <x:c r="C8" s="43"/>
      <x:c r="D8" s="43"/>
      <x:c r="E8" s="43"/>
      <x:c r="F8" s="43"/>
      <x:c r="G8" s="43"/>
      <x:c r="H8" s="44"/>
      <x:c r="I8" s="43"/>
      <x:c r="J8" s="44"/>
      <x:c r="K8" s="43"/>
      <x:c r="L8" s="44"/>
      <x:c r="M8" s="43"/>
      <x:c r="N8" s="43" t="n">
        <x:f>IF(A8="",0,IF(F8="Executed",IF(AND(I8&lt;&gt;"",J8&lt;&gt;"",K8&lt;&gt;"",L8&lt;&gt;"",M8&lt;&gt;""),1,0),IF(OR(F8="Requested",F8="Approved",F8="Rejected"),1,0)))</x:f>
        <x:v>0</x:v>
      </x:c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/>
      <x:c r="B9" s="43"/>
      <x:c r="C9" s="43"/>
      <x:c r="D9" s="43"/>
      <x:c r="E9" s="43"/>
      <x:c r="F9" s="43"/>
      <x:c r="G9" s="43"/>
      <x:c r="H9" s="44"/>
      <x:c r="I9" s="43"/>
      <x:c r="J9" s="44"/>
      <x:c r="K9" s="43"/>
      <x:c r="L9" s="44"/>
      <x:c r="M9" s="43"/>
      <x:c r="N9" s="43" t="n">
        <x:f>IF(A9="",0,IF(F9="Executed",IF(AND(I9&lt;&gt;"",J9&lt;&gt;"",K9&lt;&gt;"",L9&lt;&gt;"",M9&lt;&gt;""),1,0),IF(OR(F9="Requested",F9="Approved",F9="Rejected"),1,0)))</x:f>
        <x:v>0</x:v>
      </x:c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/>
      <x:c r="B10" s="43"/>
      <x:c r="C10" s="43"/>
      <x:c r="D10" s="43"/>
      <x:c r="E10" s="43"/>
      <x:c r="F10" s="43"/>
      <x:c r="G10" s="43"/>
      <x:c r="H10" s="44"/>
      <x:c r="I10" s="43"/>
      <x:c r="J10" s="44"/>
      <x:c r="K10" s="43"/>
      <x:c r="L10" s="44"/>
      <x:c r="M10" s="43"/>
      <x:c r="N10" s="43" t="n">
        <x:f>IF(A10="",0,IF(F10="Executed",IF(AND(I10&lt;&gt;"",J10&lt;&gt;"",K10&lt;&gt;"",L10&lt;&gt;"",M10&lt;&gt;""),1,0),IF(OR(F10="Requested",F10="Approved",F10="Rejected"),1,0)))</x:f>
        <x:v>0</x:v>
      </x:c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/>
      <x:c r="B11" s="43"/>
      <x:c r="C11" s="43"/>
      <x:c r="D11" s="43"/>
      <x:c r="E11" s="43"/>
      <x:c r="F11" s="43"/>
      <x:c r="G11" s="43"/>
      <x:c r="H11" s="44"/>
      <x:c r="I11" s="43"/>
      <x:c r="J11" s="44"/>
      <x:c r="K11" s="43"/>
      <x:c r="L11" s="44"/>
      <x:c r="M11" s="43"/>
      <x:c r="N11" s="43" t="n">
        <x:f>IF(A11="",0,IF(F11="Executed",IF(AND(I11&lt;&gt;"",J11&lt;&gt;"",K11&lt;&gt;"",L11&lt;&gt;"",M11&lt;&gt;""),1,0),IF(OR(F11="Requested",F11="Approved",F11="Rejected"),1,0)))</x:f>
        <x:v>0</x:v>
      </x:c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/>
      <x:c r="B12" s="43"/>
      <x:c r="C12" s="43"/>
      <x:c r="D12" s="43"/>
      <x:c r="E12" s="43"/>
      <x:c r="F12" s="43"/>
      <x:c r="G12" s="43"/>
      <x:c r="H12" s="44"/>
      <x:c r="I12" s="43"/>
      <x:c r="J12" s="44"/>
      <x:c r="K12" s="43"/>
      <x:c r="L12" s="44"/>
      <x:c r="M12" s="43"/>
      <x:c r="N12" s="43" t="n">
        <x:f>IF(A12="",0,IF(F12="Executed",IF(AND(I12&lt;&gt;"",J12&lt;&gt;"",K12&lt;&gt;"",L12&lt;&gt;"",M12&lt;&gt;""),1,0),IF(OR(F12="Requested",F12="Approved",F12="Rejected"),1,0)))</x:f>
        <x:v>0</x:v>
      </x:c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/>
      <x:c r="B13" s="43"/>
      <x:c r="C13" s="43"/>
      <x:c r="D13" s="43"/>
      <x:c r="E13" s="43"/>
      <x:c r="F13" s="43"/>
      <x:c r="G13" s="43"/>
      <x:c r="H13" s="44"/>
      <x:c r="I13" s="43"/>
      <x:c r="J13" s="44"/>
      <x:c r="K13" s="43"/>
      <x:c r="L13" s="44"/>
      <x:c r="M13" s="43"/>
      <x:c r="N13" s="43" t="n">
        <x:f>IF(A13="",0,IF(F13="Executed",IF(AND(I13&lt;&gt;"",J13&lt;&gt;"",K13&lt;&gt;"",L13&lt;&gt;"",M13&lt;&gt;""),1,0),IF(OR(F13="Requested",F13="Approved",F13="Rejected"),1,0)))</x:f>
        <x:v>0</x:v>
      </x:c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/>
      <x:c r="B14" s="43"/>
      <x:c r="C14" s="43"/>
      <x:c r="D14" s="43"/>
      <x:c r="E14" s="43"/>
      <x:c r="F14" s="43"/>
      <x:c r="G14" s="43"/>
      <x:c r="H14" s="44"/>
      <x:c r="I14" s="43"/>
      <x:c r="J14" s="44"/>
      <x:c r="K14" s="43"/>
      <x:c r="L14" s="44"/>
      <x:c r="M14" s="43"/>
      <x:c r="N14" s="43" t="n">
        <x:f>IF(A14="",0,IF(F14="Executed",IF(AND(I14&lt;&gt;"",J14&lt;&gt;"",K14&lt;&gt;"",L14&lt;&gt;"",M14&lt;&gt;""),1,0),IF(OR(F14="Requested",F14="Approved",F14="Rejected"),1,0)))</x:f>
        <x:v>0</x:v>
      </x:c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/>
      <x:c r="B15" s="43"/>
      <x:c r="C15" s="43"/>
      <x:c r="D15" s="43"/>
      <x:c r="E15" s="43"/>
      <x:c r="F15" s="43"/>
      <x:c r="G15" s="43"/>
      <x:c r="H15" s="44"/>
      <x:c r="I15" s="43"/>
      <x:c r="J15" s="44"/>
      <x:c r="K15" s="43"/>
      <x:c r="L15" s="44"/>
      <x:c r="M15" s="43"/>
      <x:c r="N15" s="43" t="n">
        <x:f>IF(A15="",0,IF(F15="Executed",IF(AND(I15&lt;&gt;"",J15&lt;&gt;"",K15&lt;&gt;"",L15&lt;&gt;"",M15&lt;&gt;""),1,0),IF(OR(F15="Requested",F15="Approved",F15="Rejected"),1,0)))</x:f>
        <x:v>0</x:v>
      </x:c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/>
      <x:c r="B16" s="43"/>
      <x:c r="C16" s="43"/>
      <x:c r="D16" s="43"/>
      <x:c r="E16" s="43"/>
      <x:c r="F16" s="43"/>
      <x:c r="G16" s="43"/>
      <x:c r="H16" s="44"/>
      <x:c r="I16" s="43"/>
      <x:c r="J16" s="44"/>
      <x:c r="K16" s="43"/>
      <x:c r="L16" s="44"/>
      <x:c r="M16" s="43"/>
      <x:c r="N16" s="43" t="n">
        <x:f>IF(A16="",0,IF(F16="Executed",IF(AND(I16&lt;&gt;"",J16&lt;&gt;"",K16&lt;&gt;"",L16&lt;&gt;"",M16&lt;&gt;""),1,0),IF(OR(F16="Requested",F16="Approved",F16="Rejected"),1,0)))</x:f>
        <x:v>0</x:v>
      </x:c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/>
      <x:c r="B17" s="43"/>
      <x:c r="C17" s="43"/>
      <x:c r="D17" s="43"/>
      <x:c r="E17" s="43"/>
      <x:c r="F17" s="43"/>
      <x:c r="G17" s="43"/>
      <x:c r="H17" s="44"/>
      <x:c r="I17" s="43"/>
      <x:c r="J17" s="44"/>
      <x:c r="K17" s="43"/>
      <x:c r="L17" s="44"/>
      <x:c r="M17" s="43"/>
      <x:c r="N17" s="43" t="n">
        <x:f>IF(A17="",0,IF(F17="Executed",IF(AND(I17&lt;&gt;"",J17&lt;&gt;"",K17&lt;&gt;"",L17&lt;&gt;"",M17&lt;&gt;""),1,0),IF(OR(F17="Requested",F17="Approved",F17="Rejected"),1,0)))</x:f>
        <x:v>0</x:v>
      </x:c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/>
      <x:c r="B18" s="43"/>
      <x:c r="C18" s="43"/>
      <x:c r="D18" s="43"/>
      <x:c r="E18" s="43"/>
      <x:c r="F18" s="43"/>
      <x:c r="G18" s="43"/>
      <x:c r="H18" s="44"/>
      <x:c r="I18" s="43"/>
      <x:c r="J18" s="44"/>
      <x:c r="K18" s="43"/>
      <x:c r="L18" s="44"/>
      <x:c r="M18" s="43"/>
      <x:c r="N18" s="43" t="n">
        <x:f>IF(A18="",0,IF(F18="Executed",IF(AND(I18&lt;&gt;"",J18&lt;&gt;"",K18&lt;&gt;"",L18&lt;&gt;"",M18&lt;&gt;""),1,0),IF(OR(F18="Requested",F18="Approved",F18="Rejected"),1,0)))</x:f>
        <x:v>0</x:v>
      </x:c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/>
      <x:c r="B19" s="43"/>
      <x:c r="C19" s="43"/>
      <x:c r="D19" s="43"/>
      <x:c r="E19" s="43"/>
      <x:c r="F19" s="43"/>
      <x:c r="G19" s="43"/>
      <x:c r="H19" s="44"/>
      <x:c r="I19" s="43"/>
      <x:c r="J19" s="44"/>
      <x:c r="K19" s="43"/>
      <x:c r="L19" s="44"/>
      <x:c r="M19" s="43"/>
      <x:c r="N19" s="43" t="n">
        <x:f>IF(A19="",0,IF(F19="Executed",IF(AND(I19&lt;&gt;"",J19&lt;&gt;"",K19&lt;&gt;"",L19&lt;&gt;"",M19&lt;&gt;""),1,0),IF(OR(F19="Requested",F19="Approved",F19="Rejected"),1,0)))</x:f>
        <x:v>0</x:v>
      </x:c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/>
      <x:c r="B20" s="43"/>
      <x:c r="C20" s="43"/>
      <x:c r="D20" s="43"/>
      <x:c r="E20" s="43"/>
      <x:c r="F20" s="43"/>
      <x:c r="G20" s="43"/>
      <x:c r="H20" s="44"/>
      <x:c r="I20" s="43"/>
      <x:c r="J20" s="44"/>
      <x:c r="K20" s="43"/>
      <x:c r="L20" s="44"/>
      <x:c r="M20" s="43"/>
      <x:c r="N20" s="43" t="n">
        <x:f>IF(A20="",0,IF(F20="Executed",IF(AND(I20&lt;&gt;"",J20&lt;&gt;"",K20&lt;&gt;"",L20&lt;&gt;"",M20&lt;&gt;""),1,0),IF(OR(F20="Requested",F20="Approved",F20="Rejected"),1,0)))</x:f>
        <x:v>0</x:v>
      </x:c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/>
      <x:c r="B21" s="43"/>
      <x:c r="C21" s="43"/>
      <x:c r="D21" s="43"/>
      <x:c r="E21" s="43"/>
      <x:c r="F21" s="43"/>
      <x:c r="G21" s="43"/>
      <x:c r="H21" s="44"/>
      <x:c r="I21" s="43"/>
      <x:c r="J21" s="44"/>
      <x:c r="K21" s="43"/>
      <x:c r="L21" s="44"/>
      <x:c r="M21" s="43"/>
      <x:c r="N21" s="43" t="n">
        <x:f>IF(A21="",0,IF(F21="Executed",IF(AND(I21&lt;&gt;"",J21&lt;&gt;"",K21&lt;&gt;"",L21&lt;&gt;"",M21&lt;&gt;""),1,0),IF(OR(F21="Requested",F21="Approved",F21="Rejected"),1,0)))</x:f>
        <x:v>0</x:v>
      </x:c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/>
      <x:c r="B22" s="43"/>
      <x:c r="C22" s="43"/>
      <x:c r="D22" s="43"/>
      <x:c r="E22" s="43"/>
      <x:c r="F22" s="43"/>
      <x:c r="G22" s="43"/>
      <x:c r="H22" s="44"/>
      <x:c r="I22" s="43"/>
      <x:c r="J22" s="44"/>
      <x:c r="K22" s="43"/>
      <x:c r="L22" s="44"/>
      <x:c r="M22" s="43"/>
      <x:c r="N22" s="43" t="n">
        <x:f>IF(A22="",0,IF(F22="Executed",IF(AND(I22&lt;&gt;"",J22&lt;&gt;"",K22&lt;&gt;"",L22&lt;&gt;"",M22&lt;&gt;""),1,0),IF(OR(F22="Requested",F22="Approved",F22="Rejected"),1,0)))</x:f>
        <x:v>0</x:v>
      </x:c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/>
      <x:c r="B23" s="43"/>
      <x:c r="C23" s="43"/>
      <x:c r="D23" s="43"/>
      <x:c r="E23" s="43"/>
      <x:c r="F23" s="43"/>
      <x:c r="G23" s="43"/>
      <x:c r="H23" s="44"/>
      <x:c r="I23" s="43"/>
      <x:c r="J23" s="44"/>
      <x:c r="K23" s="43"/>
      <x:c r="L23" s="44"/>
      <x:c r="M23" s="43"/>
      <x:c r="N23" s="43" t="n">
        <x:f>IF(A23="",0,IF(F23="Executed",IF(AND(I23&lt;&gt;"",J23&lt;&gt;"",K23&lt;&gt;"",L23&lt;&gt;"",M23&lt;&gt;""),1,0),IF(OR(F23="Requested",F23="Approved",F23="Rejected"),1,0)))</x:f>
        <x:v>0</x:v>
      </x:c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/>
      <x:c r="B24" s="43"/>
      <x:c r="C24" s="43"/>
      <x:c r="D24" s="43"/>
      <x:c r="E24" s="43"/>
      <x:c r="F24" s="43"/>
      <x:c r="G24" s="43"/>
      <x:c r="H24" s="44"/>
      <x:c r="I24" s="43"/>
      <x:c r="J24" s="44"/>
      <x:c r="K24" s="43"/>
      <x:c r="L24" s="44"/>
      <x:c r="M24" s="43"/>
      <x:c r="N24" s="43" t="n">
        <x:f>IF(A24="",0,IF(F24="Executed",IF(AND(I24&lt;&gt;"",J24&lt;&gt;"",K24&lt;&gt;"",L24&lt;&gt;"",M24&lt;&gt;""),1,0),IF(OR(F24="Requested",F24="Approved",F24="Rejected"),1,0)))</x:f>
        <x:v>0</x:v>
      </x:c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3"/>
      <x:c r="B25" s="43"/>
      <x:c r="C25" s="43"/>
      <x:c r="D25" s="43"/>
      <x:c r="E25" s="43"/>
      <x:c r="F25" s="43"/>
      <x:c r="G25" s="43"/>
      <x:c r="H25" s="44"/>
      <x:c r="I25" s="43"/>
      <x:c r="J25" s="44"/>
      <x:c r="K25" s="43"/>
      <x:c r="L25" s="44"/>
      <x:c r="M25" s="43"/>
      <x:c r="N25" s="43" t="n">
        <x:f>IF(A25="",0,IF(F25="Executed",IF(AND(I25&lt;&gt;"",J25&lt;&gt;"",K25&lt;&gt;"",L25&lt;&gt;"",M25&lt;&gt;""),1,0),IF(OR(F25="Requested",F25="Approved",F25="Rejected"),1,0)))</x:f>
        <x:v>0</x:v>
      </x:c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3"/>
      <x:c r="B26" s="43"/>
      <x:c r="C26" s="43"/>
      <x:c r="D26" s="43"/>
      <x:c r="E26" s="43"/>
      <x:c r="F26" s="43"/>
      <x:c r="G26" s="43"/>
      <x:c r="H26" s="44"/>
      <x:c r="I26" s="43"/>
      <x:c r="J26" s="44"/>
      <x:c r="K26" s="43"/>
      <x:c r="L26" s="44"/>
      <x:c r="M26" s="43"/>
      <x:c r="N26" s="43" t="n">
        <x:f>IF(A26="",0,IF(F26="Executed",IF(AND(I26&lt;&gt;"",J26&lt;&gt;"",K26&lt;&gt;"",L26&lt;&gt;"",M26&lt;&gt;""),1,0),IF(OR(F26="Requested",F26="Approved",F26="Rejected"),1,0)))</x:f>
        <x:v>0</x:v>
      </x:c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3"/>
      <x:c r="B27" s="43"/>
      <x:c r="C27" s="43"/>
      <x:c r="D27" s="43"/>
      <x:c r="E27" s="43"/>
      <x:c r="F27" s="43"/>
      <x:c r="G27" s="43"/>
      <x:c r="H27" s="44"/>
      <x:c r="I27" s="43"/>
      <x:c r="J27" s="44"/>
      <x:c r="K27" s="43"/>
      <x:c r="L27" s="44"/>
      <x:c r="M27" s="43"/>
      <x:c r="N27" s="43" t="n">
        <x:f>IF(A27="",0,IF(F27="Executed",IF(AND(I27&lt;&gt;"",J27&lt;&gt;"",K27&lt;&gt;"",L27&lt;&gt;"",M27&lt;&gt;""),1,0),IF(OR(F27="Requested",F27="Approved",F27="Rejected"),1,0)))</x:f>
        <x:v>0</x:v>
      </x:c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3"/>
      <x:c r="B28" s="43"/>
      <x:c r="C28" s="43"/>
      <x:c r="D28" s="43"/>
      <x:c r="E28" s="43"/>
      <x:c r="F28" s="43"/>
      <x:c r="G28" s="43"/>
      <x:c r="H28" s="44"/>
      <x:c r="I28" s="43"/>
      <x:c r="J28" s="44"/>
      <x:c r="K28" s="43"/>
      <x:c r="L28" s="44"/>
      <x:c r="M28" s="43"/>
      <x:c r="N28" s="43" t="n">
        <x:f>IF(A28="",0,IF(F28="Executed",IF(AND(I28&lt;&gt;"",J28&lt;&gt;"",K28&lt;&gt;"",L28&lt;&gt;"",M28&lt;&gt;""),1,0),IF(OR(F28="Requested",F28="Approved",F28="Rejected"),1,0)))</x:f>
        <x:v>0</x:v>
      </x:c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3"/>
      <x:c r="B29" s="43"/>
      <x:c r="C29" s="43"/>
      <x:c r="D29" s="43"/>
      <x:c r="E29" s="43"/>
      <x:c r="F29" s="43"/>
      <x:c r="G29" s="43"/>
      <x:c r="H29" s="44"/>
      <x:c r="I29" s="43"/>
      <x:c r="J29" s="44"/>
      <x:c r="K29" s="43"/>
      <x:c r="L29" s="44"/>
      <x:c r="M29" s="43"/>
      <x:c r="N29" s="43" t="n">
        <x:f>IF(A29="",0,IF(F29="Executed",IF(AND(I29&lt;&gt;"",J29&lt;&gt;"",K29&lt;&gt;"",L29&lt;&gt;"",M29&lt;&gt;""),1,0),IF(OR(F29="Requested",F29="Approved",F29="Rejected"),1,0)))</x:f>
        <x:v>0</x:v>
      </x:c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3"/>
      <x:c r="B30" s="43"/>
      <x:c r="C30" s="43"/>
      <x:c r="D30" s="43"/>
      <x:c r="E30" s="43"/>
      <x:c r="F30" s="43"/>
      <x:c r="G30" s="43"/>
      <x:c r="H30" s="44"/>
      <x:c r="I30" s="43"/>
      <x:c r="J30" s="44"/>
      <x:c r="K30" s="43"/>
      <x:c r="L30" s="44"/>
      <x:c r="M30" s="43"/>
      <x:c r="N30" s="43" t="n">
        <x:f>IF(A30="",0,IF(F30="Executed",IF(AND(I30&lt;&gt;"",J30&lt;&gt;"",K30&lt;&gt;"",L30&lt;&gt;"",M30&lt;&gt;""),1,0),IF(OR(F30="Requested",F30="Approved",F30="Rejected"),1,0)))</x:f>
        <x:v>0</x:v>
      </x:c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3"/>
      <x:c r="B31" s="43"/>
      <x:c r="C31" s="43"/>
      <x:c r="D31" s="43"/>
      <x:c r="E31" s="43"/>
      <x:c r="F31" s="43"/>
      <x:c r="G31" s="43"/>
      <x:c r="H31" s="44"/>
      <x:c r="I31" s="43"/>
      <x:c r="J31" s="44"/>
      <x:c r="K31" s="43"/>
      <x:c r="L31" s="44"/>
      <x:c r="M31" s="43"/>
      <x:c r="N31" s="43" t="n">
        <x:f>IF(A31="",0,IF(F31="Executed",IF(AND(I31&lt;&gt;"",J31&lt;&gt;"",K31&lt;&gt;"",L31&lt;&gt;"",M31&lt;&gt;""),1,0),IF(OR(F31="Requested",F31="Approved",F31="Rejected"),1,0)))</x:f>
        <x:v>0</x:v>
      </x:c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3"/>
      <x:c r="B32" s="43"/>
      <x:c r="C32" s="43"/>
      <x:c r="D32" s="43"/>
      <x:c r="E32" s="43"/>
      <x:c r="F32" s="43"/>
      <x:c r="G32" s="43"/>
      <x:c r="H32" s="44"/>
      <x:c r="I32" s="43"/>
      <x:c r="J32" s="44"/>
      <x:c r="K32" s="43"/>
      <x:c r="L32" s="44"/>
      <x:c r="M32" s="43"/>
      <x:c r="N32" s="43" t="n">
        <x:f>IF(A32="",0,IF(F32="Executed",IF(AND(I32&lt;&gt;"",J32&lt;&gt;"",K32&lt;&gt;"",L32&lt;&gt;"",M32&lt;&gt;""),1,0),IF(OR(F32="Requested",F32="Approved",F32="Rejected"),1,0)))</x:f>
        <x:v>0</x:v>
      </x:c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3"/>
      <x:c r="B33" s="43"/>
      <x:c r="C33" s="43"/>
      <x:c r="D33" s="43"/>
      <x:c r="E33" s="43"/>
      <x:c r="F33" s="43"/>
      <x:c r="G33" s="43"/>
      <x:c r="H33" s="44"/>
      <x:c r="I33" s="43"/>
      <x:c r="J33" s="44"/>
      <x:c r="K33" s="43"/>
      <x:c r="L33" s="44"/>
      <x:c r="M33" s="43"/>
      <x:c r="N33" s="43" t="n">
        <x:f>IF(A33="",0,IF(F33="Executed",IF(AND(I33&lt;&gt;"",J33&lt;&gt;"",K33&lt;&gt;"",L33&lt;&gt;"",M33&lt;&gt;""),1,0),IF(OR(F33="Requested",F33="Approved",F33="Rejected"),1,0)))</x:f>
        <x:v>0</x:v>
      </x:c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3"/>
      <x:c r="B34" s="43"/>
      <x:c r="C34" s="43"/>
      <x:c r="D34" s="43"/>
      <x:c r="E34" s="43"/>
      <x:c r="F34" s="43"/>
      <x:c r="G34" s="43"/>
      <x:c r="H34" s="44"/>
      <x:c r="I34" s="43"/>
      <x:c r="J34" s="44"/>
      <x:c r="K34" s="43"/>
      <x:c r="L34" s="44"/>
      <x:c r="M34" s="43"/>
      <x:c r="N34" s="43" t="n">
        <x:f>IF(A34="",0,IF(F34="Executed",IF(AND(I34&lt;&gt;"",J34&lt;&gt;"",K34&lt;&gt;"",L34&lt;&gt;"",M34&lt;&gt;""),1,0),IF(OR(F34="Requested",F34="Approved",F34="Rejected"),1,0)))</x:f>
        <x:v>0</x:v>
      </x:c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3"/>
      <x:c r="B35" s="43"/>
      <x:c r="C35" s="43"/>
      <x:c r="D35" s="43"/>
      <x:c r="E35" s="43"/>
      <x:c r="F35" s="43"/>
      <x:c r="G35" s="43"/>
      <x:c r="H35" s="44"/>
      <x:c r="I35" s="43"/>
      <x:c r="J35" s="44"/>
      <x:c r="K35" s="43"/>
      <x:c r="L35" s="44"/>
      <x:c r="M35" s="43"/>
      <x:c r="N35" s="43" t="n">
        <x:f>IF(A35="",0,IF(F35="Executed",IF(AND(I35&lt;&gt;"",J35&lt;&gt;"",K35&lt;&gt;"",L35&lt;&gt;"",M35&lt;&gt;""),1,0),IF(OR(F35="Requested",F35="Approved",F35="Rejected"),1,0)))</x:f>
        <x:v>0</x:v>
      </x:c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3"/>
      <x:c r="B36" s="43"/>
      <x:c r="C36" s="43"/>
      <x:c r="D36" s="43"/>
      <x:c r="E36" s="43"/>
      <x:c r="F36" s="43"/>
      <x:c r="G36" s="43"/>
      <x:c r="H36" s="44"/>
      <x:c r="I36" s="43"/>
      <x:c r="J36" s="44"/>
      <x:c r="K36" s="43"/>
      <x:c r="L36" s="44"/>
      <x:c r="M36" s="43"/>
      <x:c r="N36" s="43" t="n">
        <x:f>IF(A36="",0,IF(F36="Executed",IF(AND(I36&lt;&gt;"",J36&lt;&gt;"",K36&lt;&gt;"",L36&lt;&gt;"",M36&lt;&gt;""),1,0),IF(OR(F36="Requested",F36="Approved",F36="Rejected"),1,0)))</x:f>
        <x:v>0</x:v>
      </x:c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3"/>
      <x:c r="B37" s="43"/>
      <x:c r="C37" s="43"/>
      <x:c r="D37" s="43"/>
      <x:c r="E37" s="43"/>
      <x:c r="F37" s="43"/>
      <x:c r="G37" s="43"/>
      <x:c r="H37" s="44"/>
      <x:c r="I37" s="43"/>
      <x:c r="J37" s="44"/>
      <x:c r="K37" s="43"/>
      <x:c r="L37" s="44"/>
      <x:c r="M37" s="43"/>
      <x:c r="N37" s="43" t="n">
        <x:f>IF(A37="",0,IF(F37="Executed",IF(AND(I37&lt;&gt;"",J37&lt;&gt;"",K37&lt;&gt;"",L37&lt;&gt;"",M37&lt;&gt;""),1,0),IF(OR(F37="Requested",F37="Approved",F37="Rejected"),1,0)))</x:f>
        <x:v>0</x:v>
      </x:c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3"/>
      <x:c r="B38" s="43"/>
      <x:c r="C38" s="43"/>
      <x:c r="D38" s="43"/>
      <x:c r="E38" s="43"/>
      <x:c r="F38" s="43"/>
      <x:c r="G38" s="43"/>
      <x:c r="H38" s="44"/>
      <x:c r="I38" s="43"/>
      <x:c r="J38" s="44"/>
      <x:c r="K38" s="43"/>
      <x:c r="L38" s="44"/>
      <x:c r="M38" s="43"/>
      <x:c r="N38" s="43" t="n">
        <x:f>IF(A38="",0,IF(F38="Executed",IF(AND(I38&lt;&gt;"",J38&lt;&gt;"",K38&lt;&gt;"",L38&lt;&gt;"",M38&lt;&gt;""),1,0),IF(OR(F38="Requested",F38="Approved",F38="Rejected"),1,0)))</x:f>
        <x:v>0</x:v>
      </x:c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3"/>
      <x:c r="B39" s="43"/>
      <x:c r="C39" s="43"/>
      <x:c r="D39" s="43"/>
      <x:c r="E39" s="43"/>
      <x:c r="F39" s="43"/>
      <x:c r="G39" s="43"/>
      <x:c r="H39" s="44"/>
      <x:c r="I39" s="43"/>
      <x:c r="J39" s="44"/>
      <x:c r="K39" s="43"/>
      <x:c r="L39" s="44"/>
      <x:c r="M39" s="43"/>
      <x:c r="N39" s="43" t="n">
        <x:f>IF(A39="",0,IF(F39="Executed",IF(AND(I39&lt;&gt;"",J39&lt;&gt;"",K39&lt;&gt;"",L39&lt;&gt;"",M39&lt;&gt;""),1,0),IF(OR(F39="Requested",F39="Approved",F39="Rejected"),1,0)))</x:f>
        <x:v>0</x:v>
      </x:c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3"/>
      <x:c r="B40" s="43"/>
      <x:c r="C40" s="43"/>
      <x:c r="D40" s="43"/>
      <x:c r="E40" s="43"/>
      <x:c r="F40" s="43"/>
      <x:c r="G40" s="43"/>
      <x:c r="H40" s="44"/>
      <x:c r="I40" s="43"/>
      <x:c r="J40" s="44"/>
      <x:c r="K40" s="43"/>
      <x:c r="L40" s="44"/>
      <x:c r="M40" s="43"/>
      <x:c r="N40" s="43" t="n">
        <x:f>IF(A40="",0,IF(F40="Executed",IF(AND(I40&lt;&gt;"",J40&lt;&gt;"",K40&lt;&gt;"",L40&lt;&gt;"",M40&lt;&gt;""),1,0),IF(OR(F40="Requested",F40="Approved",F40="Rejected"),1,0)))</x:f>
        <x:v>0</x:v>
      </x:c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3"/>
      <x:c r="B41" s="43"/>
      <x:c r="C41" s="43"/>
      <x:c r="D41" s="43"/>
      <x:c r="E41" s="43"/>
      <x:c r="F41" s="43"/>
      <x:c r="G41" s="43"/>
      <x:c r="H41" s="44"/>
      <x:c r="I41" s="43"/>
      <x:c r="J41" s="44"/>
      <x:c r="K41" s="43"/>
      <x:c r="L41" s="44"/>
      <x:c r="M41" s="43"/>
      <x:c r="N41" s="43" t="n">
        <x:f>IF(A41="",0,IF(F41="Executed",IF(AND(I41&lt;&gt;"",J41&lt;&gt;"",K41&lt;&gt;"",L41&lt;&gt;"",M41&lt;&gt;""),1,0),IF(OR(F41="Requested",F41="Approved",F41="Rejected"),1,0)))</x:f>
        <x:v>0</x:v>
      </x:c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3"/>
      <x:c r="B42" s="43"/>
      <x:c r="C42" s="43"/>
      <x:c r="D42" s="43"/>
      <x:c r="E42" s="43"/>
      <x:c r="F42" s="43"/>
      <x:c r="G42" s="43"/>
      <x:c r="H42" s="44"/>
      <x:c r="I42" s="43"/>
      <x:c r="J42" s="44"/>
      <x:c r="K42" s="43"/>
      <x:c r="L42" s="44"/>
      <x:c r="M42" s="43"/>
      <x:c r="N42" s="43" t="n">
        <x:f>IF(A42="",0,IF(F42="Executed",IF(AND(I42&lt;&gt;"",J42&lt;&gt;"",K42&lt;&gt;"",L42&lt;&gt;"",M42&lt;&gt;""),1,0),IF(OR(F42="Requested",F42="Approved",F42="Rejected"),1,0)))</x:f>
        <x:v>0</x:v>
      </x:c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3"/>
      <x:c r="B43" s="43"/>
      <x:c r="C43" s="43"/>
      <x:c r="D43" s="43"/>
      <x:c r="E43" s="43"/>
      <x:c r="F43" s="43"/>
      <x:c r="G43" s="43"/>
      <x:c r="H43" s="44"/>
      <x:c r="I43" s="43"/>
      <x:c r="J43" s="44"/>
      <x:c r="K43" s="43"/>
      <x:c r="L43" s="44"/>
      <x:c r="M43" s="43"/>
      <x:c r="N43" s="43" t="n">
        <x:f>IF(A43="",0,IF(F43="Executed",IF(AND(I43&lt;&gt;"",J43&lt;&gt;"",K43&lt;&gt;"",L43&lt;&gt;"",M43&lt;&gt;""),1,0),IF(OR(F43="Requested",F43="Approved",F43="Rejected"),1,0)))</x:f>
        <x:v>0</x:v>
      </x:c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3"/>
      <x:c r="B44" s="43"/>
      <x:c r="C44" s="43"/>
      <x:c r="D44" s="43"/>
      <x:c r="E44" s="43"/>
      <x:c r="F44" s="43"/>
      <x:c r="G44" s="43"/>
      <x:c r="H44" s="44"/>
      <x:c r="I44" s="43"/>
      <x:c r="J44" s="44"/>
      <x:c r="K44" s="43"/>
      <x:c r="L44" s="44"/>
      <x:c r="M44" s="43"/>
      <x:c r="N44" s="43" t="n">
        <x:f>IF(A44="",0,IF(F44="Executed",IF(AND(I44&lt;&gt;"",J44&lt;&gt;"",K44&lt;&gt;"",L44&lt;&gt;"",M44&lt;&gt;""),1,0),IF(OR(F44="Requested",F44="Approved",F44="Rejected"),1,0)))</x:f>
        <x:v>0</x:v>
      </x:c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3"/>
      <x:c r="B45" s="43"/>
      <x:c r="C45" s="43"/>
      <x:c r="D45" s="43"/>
      <x:c r="E45" s="43"/>
      <x:c r="F45" s="43"/>
      <x:c r="G45" s="43"/>
      <x:c r="H45" s="44"/>
      <x:c r="I45" s="43"/>
      <x:c r="J45" s="44"/>
      <x:c r="K45" s="43"/>
      <x:c r="L45" s="44"/>
      <x:c r="M45" s="43"/>
      <x:c r="N45" s="43" t="n">
        <x:f>IF(A45="",0,IF(F45="Executed",IF(AND(I45&lt;&gt;"",J45&lt;&gt;"",K45&lt;&gt;"",L45&lt;&gt;"",M45&lt;&gt;""),1,0),IF(OR(F45="Requested",F45="Approved",F45="Rejected"),1,0)))</x:f>
        <x:v>0</x:v>
      </x:c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3"/>
      <x:c r="B46" s="43"/>
      <x:c r="C46" s="43"/>
      <x:c r="D46" s="43"/>
      <x:c r="E46" s="43"/>
      <x:c r="F46" s="43"/>
      <x:c r="G46" s="43"/>
      <x:c r="H46" s="44"/>
      <x:c r="I46" s="43"/>
      <x:c r="J46" s="44"/>
      <x:c r="K46" s="43"/>
      <x:c r="L46" s="44"/>
      <x:c r="M46" s="43"/>
      <x:c r="N46" s="43" t="n">
        <x:f>IF(A46="",0,IF(F46="Executed",IF(AND(I46&lt;&gt;"",J46&lt;&gt;"",K46&lt;&gt;"",L46&lt;&gt;"",M46&lt;&gt;""),1,0),IF(OR(F46="Requested",F46="Approved",F46="Rejected"),1,0)))</x:f>
        <x:v>0</x:v>
      </x:c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3"/>
      <x:c r="B47" s="43"/>
      <x:c r="C47" s="43"/>
      <x:c r="D47" s="43"/>
      <x:c r="E47" s="43"/>
      <x:c r="F47" s="43"/>
      <x:c r="G47" s="43"/>
      <x:c r="H47" s="44"/>
      <x:c r="I47" s="43"/>
      <x:c r="J47" s="44"/>
      <x:c r="K47" s="43"/>
      <x:c r="L47" s="44"/>
      <x:c r="M47" s="43"/>
      <x:c r="N47" s="43" t="n">
        <x:f>IF(A47="",0,IF(F47="Executed",IF(AND(I47&lt;&gt;"",J47&lt;&gt;"",K47&lt;&gt;"",L47&lt;&gt;"",M47&lt;&gt;""),1,0),IF(OR(F47="Requested",F47="Approved",F47="Rejected"),1,0)))</x:f>
        <x:v>0</x:v>
      </x:c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3"/>
      <x:c r="B48" s="43"/>
      <x:c r="C48" s="43"/>
      <x:c r="D48" s="43"/>
      <x:c r="E48" s="43"/>
      <x:c r="F48" s="43"/>
      <x:c r="G48" s="43"/>
      <x:c r="H48" s="44"/>
      <x:c r="I48" s="43"/>
      <x:c r="J48" s="44"/>
      <x:c r="K48" s="43"/>
      <x:c r="L48" s="44"/>
      <x:c r="M48" s="43"/>
      <x:c r="N48" s="43" t="n">
        <x:f>IF(A48="",0,IF(F48="Executed",IF(AND(I48&lt;&gt;"",J48&lt;&gt;"",K48&lt;&gt;"",L48&lt;&gt;"",M48&lt;&gt;""),1,0),IF(OR(F48="Requested",F48="Approved",F48="Rejected"),1,0)))</x:f>
        <x:v>0</x:v>
      </x:c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3"/>
      <x:c r="B49" s="43"/>
      <x:c r="C49" s="43"/>
      <x:c r="D49" s="43"/>
      <x:c r="E49" s="43"/>
      <x:c r="F49" s="43"/>
      <x:c r="G49" s="43"/>
      <x:c r="H49" s="44"/>
      <x:c r="I49" s="43"/>
      <x:c r="J49" s="44"/>
      <x:c r="K49" s="43"/>
      <x:c r="L49" s="44"/>
      <x:c r="M49" s="43"/>
      <x:c r="N49" s="43" t="n">
        <x:f>IF(A49="",0,IF(F49="Executed",IF(AND(I49&lt;&gt;"",J49&lt;&gt;"",K49&lt;&gt;"",L49&lt;&gt;"",M49&lt;&gt;""),1,0),IF(OR(F49="Requested",F49="Approved",F49="Rejected"),1,0)))</x:f>
        <x:v>0</x:v>
      </x:c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3"/>
      <x:c r="B50" s="43"/>
      <x:c r="C50" s="43"/>
      <x:c r="D50" s="43"/>
      <x:c r="E50" s="43"/>
      <x:c r="F50" s="43"/>
      <x:c r="G50" s="43"/>
      <x:c r="H50" s="44"/>
      <x:c r="I50" s="43"/>
      <x:c r="J50" s="44"/>
      <x:c r="K50" s="43"/>
      <x:c r="L50" s="44"/>
      <x:c r="M50" s="43"/>
      <x:c r="N50" s="43" t="n">
        <x:f>IF(A50="",0,IF(F50="Executed",IF(AND(I50&lt;&gt;"",J50&lt;&gt;"",K50&lt;&gt;"",L50&lt;&gt;"",M50&lt;&gt;""),1,0),IF(OR(F50="Requested",F50="Approved",F50="Rejected"),1,0)))</x:f>
        <x:v>0</x:v>
      </x:c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3"/>
      <x:c r="B51" s="43"/>
      <x:c r="C51" s="43"/>
      <x:c r="D51" s="43"/>
      <x:c r="E51" s="43"/>
      <x:c r="F51" s="43"/>
      <x:c r="G51" s="43"/>
      <x:c r="H51" s="44"/>
      <x:c r="I51" s="43"/>
      <x:c r="J51" s="44"/>
      <x:c r="K51" s="43"/>
      <x:c r="L51" s="44"/>
      <x:c r="M51" s="43"/>
      <x:c r="N51" s="43" t="n">
        <x:f>IF(A51="",0,IF(F51="Executed",IF(AND(I51&lt;&gt;"",J51&lt;&gt;"",K51&lt;&gt;"",L51&lt;&gt;"",M51&lt;&gt;""),1,0),IF(OR(F51="Requested",F51="Approved",F51="Rejected"),1,0)))</x:f>
        <x:v>0</x:v>
      </x:c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3"/>
      <x:c r="B52" s="43"/>
      <x:c r="C52" s="43"/>
      <x:c r="D52" s="43"/>
      <x:c r="E52" s="43"/>
      <x:c r="F52" s="43"/>
      <x:c r="G52" s="43"/>
      <x:c r="H52" s="44"/>
      <x:c r="I52" s="43"/>
      <x:c r="J52" s="44"/>
      <x:c r="K52" s="43"/>
      <x:c r="L52" s="44"/>
      <x:c r="M52" s="43"/>
      <x:c r="N52" s="43" t="n">
        <x:f>IF(A52="",0,IF(F52="Executed",IF(AND(I52&lt;&gt;"",J52&lt;&gt;"",K52&lt;&gt;"",L52&lt;&gt;"",M52&lt;&gt;""),1,0),IF(OR(F52="Requested",F52="Approved",F52="Rejected"),1,0)))</x:f>
        <x:v>0</x:v>
      </x:c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3"/>
      <x:c r="B53" s="43"/>
      <x:c r="C53" s="43"/>
      <x:c r="D53" s="43"/>
      <x:c r="E53" s="43"/>
      <x:c r="F53" s="43"/>
      <x:c r="G53" s="43"/>
      <x:c r="H53" s="44"/>
      <x:c r="I53" s="43"/>
      <x:c r="J53" s="44"/>
      <x:c r="K53" s="43"/>
      <x:c r="L53" s="44"/>
      <x:c r="M53" s="43"/>
      <x:c r="N53" s="43" t="n">
        <x:f>IF(A53="",0,IF(F53="Executed",IF(AND(I53&lt;&gt;"",J53&lt;&gt;"",K53&lt;&gt;"",L53&lt;&gt;"",M53&lt;&gt;""),1,0),IF(OR(F53="Requested",F53="Approved",F53="Rejected"),1,0)))</x:f>
        <x:v>0</x:v>
      </x:c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3"/>
      <x:c r="B54" s="43"/>
      <x:c r="C54" s="43"/>
      <x:c r="D54" s="43"/>
      <x:c r="E54" s="43"/>
      <x:c r="F54" s="43"/>
      <x:c r="G54" s="43"/>
      <x:c r="H54" s="44"/>
      <x:c r="I54" s="43"/>
      <x:c r="J54" s="44"/>
      <x:c r="K54" s="43"/>
      <x:c r="L54" s="44"/>
      <x:c r="M54" s="43"/>
      <x:c r="N54" s="43" t="n">
        <x:f>IF(A54="",0,IF(F54="Executed",IF(AND(I54&lt;&gt;"",J54&lt;&gt;"",K54&lt;&gt;"",L54&lt;&gt;"",M54&lt;&gt;""),1,0),IF(OR(F54="Requested",F54="Approved",F54="Rejected"),1,0)))</x:f>
        <x:v>0</x:v>
      </x:c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N2"/>
  </x:mergeCells>
  <x:dataValidations count="3">
    <x:dataValidation type="list" sqref="C5:C54">
      <x:formula1>_Lists!$F$2:$F$3</x:formula1>
    </x:dataValidation>
    <x:dataValidation type="list" sqref="D5:D54">
      <x:formula1>"P0,P1,P2,P3"</x:formula1>
    </x:dataValidation>
    <x:dataValidation type="list" sqref="F5:F54">
      <x:formula1>_Lists!$E$2:$E$6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ee05a8ab39466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55" hidden="0" customWidth="1"/>
    <x:col min="5" max="5" width="22" hidden="0" customWidth="1"/>
    <x:col min="6" max="6" width="25" hidden="0" customWidth="1"/>
    <x:col min="7" max="7" width="20" hidden="0" customWidth="1"/>
    <x:col min="8" max="8" width="16" hidden="0" customWidth="1"/>
    <x:col min="9" max="9" width="18" hidden="0" customWidth="1"/>
    <x:col min="10" max="10" width="14" hidden="0" customWidth="1"/>
    <x:col min="11" max="11" width="16" hidden="0" customWidth="1"/>
  </x:cols>
  <x:sheetData>
    <x:row r="1">
      <x:c r="A1" s="40" t="str">
        <x:v>المراجعات المستقلة للخطة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Plan Code</x:v>
      </x:c>
      <x:c r="B4" s="50" t="str">
        <x:v>Review Type</x:v>
      </x:c>
      <x:c r="C4" s="50" t="str">
        <x:v>Decision</x:v>
      </x:c>
      <x:c r="D4" s="50" t="str">
        <x:v>Comment</x:v>
      </x:c>
      <x:c r="E4" s="50" t="str">
        <x:v>Reviewer Role</x:v>
      </x:c>
      <x:c r="F4" s="50" t="str">
        <x:v>Reviewer Name</x:v>
      </x:c>
      <x:c r="G4" s="50" t="str">
        <x:v>Reviewed Date</x:v>
      </x:c>
      <x:c r="H4" s="50" t="str">
        <x:v>Auto Executed</x:v>
      </x:c>
      <x:c r="I4" s="50" t="str">
        <x:v>Compliance Approved</x:v>
      </x:c>
      <x:c r="J4" s="50" t="str">
        <x:v>CAPA Closed</x:v>
      </x:c>
      <x:c r="K4" s="50" t="str">
        <x:v>Guardrail Result</x:v>
      </x:c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/>
      <x:c r="B5" s="43" t="str"/>
      <x:c r="C5" s="43" t="str"/>
      <x:c r="D5" s="43" t="str"/>
      <x:c r="E5" s="43" t="str"/>
      <x:c r="F5" s="43" t="str"/>
      <x:c r="G5" s="44" t="str"/>
      <x:c r="H5" s="53" t="b">
        <x:v>0</x:v>
      </x:c>
      <x:c r="I5" s="53" t="b">
        <x:v>0</x:v>
      </x:c>
      <x:c r="J5" s="53" t="b">
        <x:v>0</x:v>
      </x:c>
      <x:c r="K5" s="43" t="n">
        <x:f>IF(A5="",0,IF(AND(H5=FALSE,I5=FALSE,J5=FALSE,D5&lt;&gt;"",E5&lt;&gt;"",F5&lt;&gt;"",G5&lt;&gt;""),1,0))</x:f>
        <x:v>0</x:v>
      </x:c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 t="str"/>
      <x:c r="B6" s="43" t="str"/>
      <x:c r="C6" s="43" t="str"/>
      <x:c r="D6" s="43" t="str"/>
      <x:c r="E6" s="43" t="str"/>
      <x:c r="F6" s="43" t="str"/>
      <x:c r="G6" s="44" t="str"/>
      <x:c r="H6" s="53" t="b">
        <x:v>0</x:v>
      </x:c>
      <x:c r="I6" s="53" t="b">
        <x:v>0</x:v>
      </x:c>
      <x:c r="J6" s="53" t="b">
        <x:v>0</x:v>
      </x:c>
      <x:c r="K6" s="43" t="n">
        <x:f>IF(A6="",0,IF(AND(H6=FALSE,I6=FALSE,J6=FALSE,D6&lt;&gt;"",E6&lt;&gt;"",F6&lt;&gt;"",G6&lt;&gt;""),1,0))</x:f>
        <x:v>0</x:v>
      </x:c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 t="str"/>
      <x:c r="B7" s="43" t="str"/>
      <x:c r="C7" s="43" t="str"/>
      <x:c r="D7" s="43" t="str"/>
      <x:c r="E7" s="43" t="str"/>
      <x:c r="F7" s="43" t="str"/>
      <x:c r="G7" s="44" t="str"/>
      <x:c r="H7" s="53" t="b">
        <x:v>0</x:v>
      </x:c>
      <x:c r="I7" s="53" t="b">
        <x:v>0</x:v>
      </x:c>
      <x:c r="J7" s="53" t="b">
        <x:v>0</x:v>
      </x:c>
      <x:c r="K7" s="43" t="n">
        <x:f>IF(A7="",0,IF(AND(H7=FALSE,I7=FALSE,J7=FALSE,D7&lt;&gt;"",E7&lt;&gt;"",F7&lt;&gt;"",G7&lt;&gt;""),1,0))</x:f>
        <x:v>0</x:v>
      </x:c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 t="str"/>
      <x:c r="B8" s="43" t="str"/>
      <x:c r="C8" s="43" t="str"/>
      <x:c r="D8" s="43" t="str"/>
      <x:c r="E8" s="43" t="str"/>
      <x:c r="F8" s="43" t="str"/>
      <x:c r="G8" s="44" t="str"/>
      <x:c r="H8" s="53" t="b">
        <x:v>0</x:v>
      </x:c>
      <x:c r="I8" s="53" t="b">
        <x:v>0</x:v>
      </x:c>
      <x:c r="J8" s="53" t="b">
        <x:v>0</x:v>
      </x:c>
      <x:c r="K8" s="43" t="n">
        <x:f>IF(A8="",0,IF(AND(H8=FALSE,I8=FALSE,J8=FALSE,D8&lt;&gt;"",E8&lt;&gt;"",F8&lt;&gt;"",G8&lt;&gt;""),1,0))</x:f>
        <x:v>0</x:v>
      </x:c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 t="str"/>
      <x:c r="B9" s="43" t="str"/>
      <x:c r="C9" s="43" t="str"/>
      <x:c r="D9" s="43" t="str"/>
      <x:c r="E9" s="43" t="str"/>
      <x:c r="F9" s="43" t="str"/>
      <x:c r="G9" s="44" t="str"/>
      <x:c r="H9" s="53" t="b">
        <x:v>0</x:v>
      </x:c>
      <x:c r="I9" s="53" t="b">
        <x:v>0</x:v>
      </x:c>
      <x:c r="J9" s="53" t="b">
        <x:v>0</x:v>
      </x:c>
      <x:c r="K9" s="43" t="n">
        <x:f>IF(A9="",0,IF(AND(H9=FALSE,I9=FALSE,J9=FALSE,D9&lt;&gt;"",E9&lt;&gt;"",F9&lt;&gt;"",G9&lt;&gt;""),1,0))</x:f>
        <x:v>0</x:v>
      </x:c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 t="str"/>
      <x:c r="B10" s="43" t="str"/>
      <x:c r="C10" s="43" t="str"/>
      <x:c r="D10" s="43" t="str"/>
      <x:c r="E10" s="43" t="str"/>
      <x:c r="F10" s="43" t="str"/>
      <x:c r="G10" s="44" t="str"/>
      <x:c r="H10" s="53" t="b">
        <x:v>0</x:v>
      </x:c>
      <x:c r="I10" s="53" t="b">
        <x:v>0</x:v>
      </x:c>
      <x:c r="J10" s="53" t="b">
        <x:v>0</x:v>
      </x:c>
      <x:c r="K10" s="43" t="n">
        <x:f>IF(A10="",0,IF(AND(H10=FALSE,I10=FALSE,J10=FALSE,D10&lt;&gt;"",E10&lt;&gt;"",F10&lt;&gt;"",G10&lt;&gt;""),1,0))</x:f>
        <x:v>0</x:v>
      </x:c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 t="str"/>
      <x:c r="B11" s="43" t="str"/>
      <x:c r="C11" s="43" t="str"/>
      <x:c r="D11" s="43" t="str"/>
      <x:c r="E11" s="43" t="str"/>
      <x:c r="F11" s="43" t="str"/>
      <x:c r="G11" s="44" t="str"/>
      <x:c r="H11" s="53" t="b">
        <x:v>0</x:v>
      </x:c>
      <x:c r="I11" s="53" t="b">
        <x:v>0</x:v>
      </x:c>
      <x:c r="J11" s="53" t="b">
        <x:v>0</x:v>
      </x:c>
      <x:c r="K11" s="43" t="n">
        <x:f>IF(A11="",0,IF(AND(H11=FALSE,I11=FALSE,J11=FALSE,D11&lt;&gt;"",E11&lt;&gt;"",F11&lt;&gt;"",G11&lt;&gt;""),1,0))</x:f>
        <x:v>0</x:v>
      </x:c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 t="str"/>
      <x:c r="B12" s="43" t="str"/>
      <x:c r="C12" s="43" t="str"/>
      <x:c r="D12" s="43" t="str"/>
      <x:c r="E12" s="43" t="str"/>
      <x:c r="F12" s="43" t="str"/>
      <x:c r="G12" s="44" t="str"/>
      <x:c r="H12" s="53" t="b">
        <x:v>0</x:v>
      </x:c>
      <x:c r="I12" s="53" t="b">
        <x:v>0</x:v>
      </x:c>
      <x:c r="J12" s="53" t="b">
        <x:v>0</x:v>
      </x:c>
      <x:c r="K12" s="43" t="n">
        <x:f>IF(A12="",0,IF(AND(H12=FALSE,I12=FALSE,J12=FALSE,D12&lt;&gt;"",E12&lt;&gt;"",F12&lt;&gt;"",G12&lt;&gt;""),1,0))</x:f>
        <x:v>0</x:v>
      </x:c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 t="str"/>
      <x:c r="B13" s="43" t="str"/>
      <x:c r="C13" s="43" t="str"/>
      <x:c r="D13" s="43" t="str"/>
      <x:c r="E13" s="43" t="str"/>
      <x:c r="F13" s="43" t="str"/>
      <x:c r="G13" s="44" t="str"/>
      <x:c r="H13" s="53" t="b">
        <x:v>0</x:v>
      </x:c>
      <x:c r="I13" s="53" t="b">
        <x:v>0</x:v>
      </x:c>
      <x:c r="J13" s="53" t="b">
        <x:v>0</x:v>
      </x:c>
      <x:c r="K13" s="43" t="n">
        <x:f>IF(A13="",0,IF(AND(H13=FALSE,I13=FALSE,J13=FALSE,D13&lt;&gt;"",E13&lt;&gt;"",F13&lt;&gt;"",G13&lt;&gt;""),1,0))</x:f>
        <x:v>0</x:v>
      </x:c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 t="str"/>
      <x:c r="B14" s="43" t="str"/>
      <x:c r="C14" s="43" t="str"/>
      <x:c r="D14" s="43" t="str"/>
      <x:c r="E14" s="43" t="str"/>
      <x:c r="F14" s="43" t="str"/>
      <x:c r="G14" s="44" t="str"/>
      <x:c r="H14" s="53" t="b">
        <x:v>0</x:v>
      </x:c>
      <x:c r="I14" s="53" t="b">
        <x:v>0</x:v>
      </x:c>
      <x:c r="J14" s="53" t="b">
        <x:v>0</x:v>
      </x:c>
      <x:c r="K14" s="43" t="n">
        <x:f>IF(A14="",0,IF(AND(H14=FALSE,I14=FALSE,J14=FALSE,D14&lt;&gt;"",E14&lt;&gt;"",F14&lt;&gt;"",G14&lt;&gt;""),1,0))</x:f>
        <x:v>0</x:v>
      </x:c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 t="str"/>
      <x:c r="B15" s="43" t="str"/>
      <x:c r="C15" s="43" t="str"/>
      <x:c r="D15" s="43" t="str"/>
      <x:c r="E15" s="43" t="str"/>
      <x:c r="F15" s="43" t="str"/>
      <x:c r="G15" s="44" t="str"/>
      <x:c r="H15" s="53" t="b">
        <x:v>0</x:v>
      </x:c>
      <x:c r="I15" s="53" t="b">
        <x:v>0</x:v>
      </x:c>
      <x:c r="J15" s="53" t="b">
        <x:v>0</x:v>
      </x:c>
      <x:c r="K15" s="43" t="n">
        <x:f>IF(A15="",0,IF(AND(H15=FALSE,I15=FALSE,J15=FALSE,D15&lt;&gt;"",E15&lt;&gt;"",F15&lt;&gt;"",G15&lt;&gt;""),1,0))</x:f>
        <x:v>0</x:v>
      </x:c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 t="str"/>
      <x:c r="B16" s="43" t="str"/>
      <x:c r="C16" s="43" t="str"/>
      <x:c r="D16" s="43" t="str"/>
      <x:c r="E16" s="43" t="str"/>
      <x:c r="F16" s="43" t="str"/>
      <x:c r="G16" s="44" t="str"/>
      <x:c r="H16" s="53" t="b">
        <x:v>0</x:v>
      </x:c>
      <x:c r="I16" s="53" t="b">
        <x:v>0</x:v>
      </x:c>
      <x:c r="J16" s="53" t="b">
        <x:v>0</x:v>
      </x:c>
      <x:c r="K16" s="43" t="n">
        <x:f>IF(A16="",0,IF(AND(H16=FALSE,I16=FALSE,J16=FALSE,D16&lt;&gt;"",E16&lt;&gt;"",F16&lt;&gt;"",G16&lt;&gt;""),1,0))</x:f>
        <x:v>0</x:v>
      </x:c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 t="str"/>
      <x:c r="B17" s="43" t="str"/>
      <x:c r="C17" s="43" t="str"/>
      <x:c r="D17" s="43" t="str"/>
      <x:c r="E17" s="43" t="str"/>
      <x:c r="F17" s="43" t="str"/>
      <x:c r="G17" s="44" t="str"/>
      <x:c r="H17" s="53" t="b">
        <x:v>0</x:v>
      </x:c>
      <x:c r="I17" s="53" t="b">
        <x:v>0</x:v>
      </x:c>
      <x:c r="J17" s="53" t="b">
        <x:v>0</x:v>
      </x:c>
      <x:c r="K17" s="43" t="n">
        <x:f>IF(A17="",0,IF(AND(H17=FALSE,I17=FALSE,J17=FALSE,D17&lt;&gt;"",E17&lt;&gt;"",F17&lt;&gt;"",G17&lt;&gt;""),1,0))</x:f>
        <x:v>0</x:v>
      </x:c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 t="str"/>
      <x:c r="B18" s="43" t="str"/>
      <x:c r="C18" s="43" t="str"/>
      <x:c r="D18" s="43" t="str"/>
      <x:c r="E18" s="43" t="str"/>
      <x:c r="F18" s="43" t="str"/>
      <x:c r="G18" s="44" t="str"/>
      <x:c r="H18" s="53" t="b">
        <x:v>0</x:v>
      </x:c>
      <x:c r="I18" s="53" t="b">
        <x:v>0</x:v>
      </x:c>
      <x:c r="J18" s="53" t="b">
        <x:v>0</x:v>
      </x:c>
      <x:c r="K18" s="43" t="n">
        <x:f>IF(A18="",0,IF(AND(H18=FALSE,I18=FALSE,J18=FALSE,D18&lt;&gt;"",E18&lt;&gt;"",F18&lt;&gt;"",G18&lt;&gt;""),1,0))</x:f>
        <x:v>0</x:v>
      </x:c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 t="str"/>
      <x:c r="B19" s="43" t="str"/>
      <x:c r="C19" s="43" t="str"/>
      <x:c r="D19" s="43" t="str"/>
      <x:c r="E19" s="43" t="str"/>
      <x:c r="F19" s="43" t="str"/>
      <x:c r="G19" s="44" t="str"/>
      <x:c r="H19" s="53" t="b">
        <x:v>0</x:v>
      </x:c>
      <x:c r="I19" s="53" t="b">
        <x:v>0</x:v>
      </x:c>
      <x:c r="J19" s="53" t="b">
        <x:v>0</x:v>
      </x:c>
      <x:c r="K19" s="43" t="n">
        <x:f>IF(A19="",0,IF(AND(H19=FALSE,I19=FALSE,J19=FALSE,D19&lt;&gt;"",E19&lt;&gt;"",F19&lt;&gt;"",G19&lt;&gt;""),1,0))</x:f>
        <x:v>0</x:v>
      </x:c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 t="str"/>
      <x:c r="B20" s="43" t="str"/>
      <x:c r="C20" s="43" t="str"/>
      <x:c r="D20" s="43" t="str"/>
      <x:c r="E20" s="43" t="str"/>
      <x:c r="F20" s="43" t="str"/>
      <x:c r="G20" s="44" t="str"/>
      <x:c r="H20" s="53" t="b">
        <x:v>0</x:v>
      </x:c>
      <x:c r="I20" s="53" t="b">
        <x:v>0</x:v>
      </x:c>
      <x:c r="J20" s="53" t="b">
        <x:v>0</x:v>
      </x:c>
      <x:c r="K20" s="43" t="n">
        <x:f>IF(A20="",0,IF(AND(H20=FALSE,I20=FALSE,J20=FALSE,D20&lt;&gt;"",E20&lt;&gt;"",F20&lt;&gt;"",G20&lt;&gt;""),1,0))</x:f>
        <x:v>0</x:v>
      </x:c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 t="str"/>
      <x:c r="B21" s="43" t="str"/>
      <x:c r="C21" s="43" t="str"/>
      <x:c r="D21" s="43" t="str"/>
      <x:c r="E21" s="43" t="str"/>
      <x:c r="F21" s="43" t="str"/>
      <x:c r="G21" s="44" t="str"/>
      <x:c r="H21" s="53" t="b">
        <x:v>0</x:v>
      </x:c>
      <x:c r="I21" s="53" t="b">
        <x:v>0</x:v>
      </x:c>
      <x:c r="J21" s="53" t="b">
        <x:v>0</x:v>
      </x:c>
      <x:c r="K21" s="43" t="n">
        <x:f>IF(A21="",0,IF(AND(H21=FALSE,I21=FALSE,J21=FALSE,D21&lt;&gt;"",E21&lt;&gt;"",F21&lt;&gt;"",G21&lt;&gt;""),1,0))</x:f>
        <x:v>0</x:v>
      </x:c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 t="str"/>
      <x:c r="B22" s="43" t="str"/>
      <x:c r="C22" s="43" t="str"/>
      <x:c r="D22" s="43" t="str"/>
      <x:c r="E22" s="43" t="str"/>
      <x:c r="F22" s="43" t="str"/>
      <x:c r="G22" s="44" t="str"/>
      <x:c r="H22" s="53" t="b">
        <x:v>0</x:v>
      </x:c>
      <x:c r="I22" s="53" t="b">
        <x:v>0</x:v>
      </x:c>
      <x:c r="J22" s="53" t="b">
        <x:v>0</x:v>
      </x:c>
      <x:c r="K22" s="43" t="n">
        <x:f>IF(A22="",0,IF(AND(H22=FALSE,I22=FALSE,J22=FALSE,D22&lt;&gt;"",E22&lt;&gt;"",F22&lt;&gt;"",G22&lt;&gt;""),1,0))</x:f>
        <x:v>0</x:v>
      </x:c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 t="str"/>
      <x:c r="B23" s="43" t="str"/>
      <x:c r="C23" s="43" t="str"/>
      <x:c r="D23" s="43" t="str"/>
      <x:c r="E23" s="43" t="str"/>
      <x:c r="F23" s="43" t="str"/>
      <x:c r="G23" s="44" t="str"/>
      <x:c r="H23" s="53" t="b">
        <x:v>0</x:v>
      </x:c>
      <x:c r="I23" s="53" t="b">
        <x:v>0</x:v>
      </x:c>
      <x:c r="J23" s="53" t="b">
        <x:v>0</x:v>
      </x:c>
      <x:c r="K23" s="43" t="n">
        <x:f>IF(A23="",0,IF(AND(H23=FALSE,I23=FALSE,J23=FALSE,D23&lt;&gt;"",E23&lt;&gt;"",F23&lt;&gt;"",G23&lt;&gt;""),1,0))</x:f>
        <x:v>0</x:v>
      </x:c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 t="str"/>
      <x:c r="B24" s="43" t="str"/>
      <x:c r="C24" s="43" t="str"/>
      <x:c r="D24" s="43" t="str"/>
      <x:c r="E24" s="43" t="str"/>
      <x:c r="F24" s="43" t="str"/>
      <x:c r="G24" s="44" t="str"/>
      <x:c r="H24" s="53" t="b">
        <x:v>0</x:v>
      </x:c>
      <x:c r="I24" s="53" t="b">
        <x:v>0</x:v>
      </x:c>
      <x:c r="J24" s="53" t="b">
        <x:v>0</x:v>
      </x:c>
      <x:c r="K24" s="43" t="n">
        <x:f>IF(A24="",0,IF(AND(H24=FALSE,I24=FALSE,J24=FALSE,D24&lt;&gt;"",E24&lt;&gt;"",F24&lt;&gt;"",G24&lt;&gt;""),1,0))</x:f>
        <x:v>0</x:v>
      </x:c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3" t="str"/>
      <x:c r="B25" s="43" t="str"/>
      <x:c r="C25" s="43" t="str"/>
      <x:c r="D25" s="43" t="str"/>
      <x:c r="E25" s="43" t="str"/>
      <x:c r="F25" s="43" t="str"/>
      <x:c r="G25" s="44" t="str"/>
      <x:c r="H25" s="53" t="b">
        <x:v>0</x:v>
      </x:c>
      <x:c r="I25" s="53" t="b">
        <x:v>0</x:v>
      </x:c>
      <x:c r="J25" s="53" t="b">
        <x:v>0</x:v>
      </x:c>
      <x:c r="K25" s="43" t="n">
        <x:f>IF(A25="",0,IF(AND(H25=FALSE,I25=FALSE,J25=FALSE,D25&lt;&gt;"",E25&lt;&gt;"",F25&lt;&gt;"",G25&lt;&gt;""),1,0))</x:f>
        <x:v>0</x:v>
      </x:c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3" t="str"/>
      <x:c r="B26" s="43" t="str"/>
      <x:c r="C26" s="43" t="str"/>
      <x:c r="D26" s="43" t="str"/>
      <x:c r="E26" s="43" t="str"/>
      <x:c r="F26" s="43" t="str"/>
      <x:c r="G26" s="44" t="str"/>
      <x:c r="H26" s="53" t="b">
        <x:v>0</x:v>
      </x:c>
      <x:c r="I26" s="53" t="b">
        <x:v>0</x:v>
      </x:c>
      <x:c r="J26" s="53" t="b">
        <x:v>0</x:v>
      </x:c>
      <x:c r="K26" s="43" t="n">
        <x:f>IF(A26="",0,IF(AND(H26=FALSE,I26=FALSE,J26=FALSE,D26&lt;&gt;"",E26&lt;&gt;"",F26&lt;&gt;"",G26&lt;&gt;""),1,0))</x:f>
        <x:v>0</x:v>
      </x:c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3" t="str"/>
      <x:c r="B27" s="43" t="str"/>
      <x:c r="C27" s="43" t="str"/>
      <x:c r="D27" s="43" t="str"/>
      <x:c r="E27" s="43" t="str"/>
      <x:c r="F27" s="43" t="str"/>
      <x:c r="G27" s="44" t="str"/>
      <x:c r="H27" s="53" t="b">
        <x:v>0</x:v>
      </x:c>
      <x:c r="I27" s="53" t="b">
        <x:v>0</x:v>
      </x:c>
      <x:c r="J27" s="53" t="b">
        <x:v>0</x:v>
      </x:c>
      <x:c r="K27" s="43" t="n">
        <x:f>IF(A27="",0,IF(AND(H27=FALSE,I27=FALSE,J27=FALSE,D27&lt;&gt;"",E27&lt;&gt;"",F27&lt;&gt;"",G27&lt;&gt;""),1,0))</x:f>
        <x:v>0</x:v>
      </x:c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3" t="str"/>
      <x:c r="B28" s="43" t="str"/>
      <x:c r="C28" s="43" t="str"/>
      <x:c r="D28" s="43" t="str"/>
      <x:c r="E28" s="43" t="str"/>
      <x:c r="F28" s="43" t="str"/>
      <x:c r="G28" s="44" t="str"/>
      <x:c r="H28" s="53" t="b">
        <x:v>0</x:v>
      </x:c>
      <x:c r="I28" s="53" t="b">
        <x:v>0</x:v>
      </x:c>
      <x:c r="J28" s="53" t="b">
        <x:v>0</x:v>
      </x:c>
      <x:c r="K28" s="43" t="n">
        <x:f>IF(A28="",0,IF(AND(H28=FALSE,I28=FALSE,J28=FALSE,D28&lt;&gt;"",E28&lt;&gt;"",F28&lt;&gt;"",G28&lt;&gt;""),1,0))</x:f>
        <x:v>0</x:v>
      </x:c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3" t="str"/>
      <x:c r="B29" s="43" t="str"/>
      <x:c r="C29" s="43" t="str"/>
      <x:c r="D29" s="43" t="str"/>
      <x:c r="E29" s="43" t="str"/>
      <x:c r="F29" s="43" t="str"/>
      <x:c r="G29" s="44" t="str"/>
      <x:c r="H29" s="53" t="b">
        <x:v>0</x:v>
      </x:c>
      <x:c r="I29" s="53" t="b">
        <x:v>0</x:v>
      </x:c>
      <x:c r="J29" s="53" t="b">
        <x:v>0</x:v>
      </x:c>
      <x:c r="K29" s="43" t="n">
        <x:f>IF(A29="",0,IF(AND(H29=FALSE,I29=FALSE,J29=FALSE,D29&lt;&gt;"",E29&lt;&gt;"",F29&lt;&gt;"",G29&lt;&gt;""),1,0))</x:f>
        <x:v>0</x:v>
      </x:c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3" t="str"/>
      <x:c r="B30" s="43" t="str"/>
      <x:c r="C30" s="43" t="str"/>
      <x:c r="D30" s="43" t="str"/>
      <x:c r="E30" s="43" t="str"/>
      <x:c r="F30" s="43" t="str"/>
      <x:c r="G30" s="44" t="str"/>
      <x:c r="H30" s="53" t="b">
        <x:v>0</x:v>
      </x:c>
      <x:c r="I30" s="53" t="b">
        <x:v>0</x:v>
      </x:c>
      <x:c r="J30" s="53" t="b">
        <x:v>0</x:v>
      </x:c>
      <x:c r="K30" s="43" t="n">
        <x:f>IF(A30="",0,IF(AND(H30=FALSE,I30=FALSE,J30=FALSE,D30&lt;&gt;"",E30&lt;&gt;"",F30&lt;&gt;"",G30&lt;&gt;""),1,0))</x:f>
        <x:v>0</x:v>
      </x:c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3" t="str"/>
      <x:c r="B31" s="43" t="str"/>
      <x:c r="C31" s="43" t="str"/>
      <x:c r="D31" s="43" t="str"/>
      <x:c r="E31" s="43" t="str"/>
      <x:c r="F31" s="43" t="str"/>
      <x:c r="G31" s="44" t="str"/>
      <x:c r="H31" s="53" t="b">
        <x:v>0</x:v>
      </x:c>
      <x:c r="I31" s="53" t="b">
        <x:v>0</x:v>
      </x:c>
      <x:c r="J31" s="53" t="b">
        <x:v>0</x:v>
      </x:c>
      <x:c r="K31" s="43" t="n">
        <x:f>IF(A31="",0,IF(AND(H31=FALSE,I31=FALSE,J31=FALSE,D31&lt;&gt;"",E31&lt;&gt;"",F31&lt;&gt;"",G31&lt;&gt;""),1,0))</x:f>
        <x:v>0</x:v>
      </x:c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3" t="str"/>
      <x:c r="B32" s="43" t="str"/>
      <x:c r="C32" s="43" t="str"/>
      <x:c r="D32" s="43" t="str"/>
      <x:c r="E32" s="43" t="str"/>
      <x:c r="F32" s="43" t="str"/>
      <x:c r="G32" s="44" t="str"/>
      <x:c r="H32" s="53" t="b">
        <x:v>0</x:v>
      </x:c>
      <x:c r="I32" s="53" t="b">
        <x:v>0</x:v>
      </x:c>
      <x:c r="J32" s="53" t="b">
        <x:v>0</x:v>
      </x:c>
      <x:c r="K32" s="43" t="n">
        <x:f>IF(A32="",0,IF(AND(H32=FALSE,I32=FALSE,J32=FALSE,D32&lt;&gt;"",E32&lt;&gt;"",F32&lt;&gt;"",G32&lt;&gt;""),1,0))</x:f>
        <x:v>0</x:v>
      </x:c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3" t="str"/>
      <x:c r="B33" s="43" t="str"/>
      <x:c r="C33" s="43" t="str"/>
      <x:c r="D33" s="43" t="str"/>
      <x:c r="E33" s="43" t="str"/>
      <x:c r="F33" s="43" t="str"/>
      <x:c r="G33" s="44" t="str"/>
      <x:c r="H33" s="53" t="b">
        <x:v>0</x:v>
      </x:c>
      <x:c r="I33" s="53" t="b">
        <x:v>0</x:v>
      </x:c>
      <x:c r="J33" s="53" t="b">
        <x:v>0</x:v>
      </x:c>
      <x:c r="K33" s="43" t="n">
        <x:f>IF(A33="",0,IF(AND(H33=FALSE,I33=FALSE,J33=FALSE,D33&lt;&gt;"",E33&lt;&gt;"",F33&lt;&gt;"",G33&lt;&gt;""),1,0))</x:f>
        <x:v>0</x:v>
      </x:c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3" t="str"/>
      <x:c r="B34" s="43" t="str"/>
      <x:c r="C34" s="43" t="str"/>
      <x:c r="D34" s="43" t="str"/>
      <x:c r="E34" s="43" t="str"/>
      <x:c r="F34" s="43" t="str"/>
      <x:c r="G34" s="44" t="str"/>
      <x:c r="H34" s="53" t="b">
        <x:v>0</x:v>
      </x:c>
      <x:c r="I34" s="53" t="b">
        <x:v>0</x:v>
      </x:c>
      <x:c r="J34" s="53" t="b">
        <x:v>0</x:v>
      </x:c>
      <x:c r="K34" s="43" t="n">
        <x:f>IF(A34="",0,IF(AND(H34=FALSE,I34=FALSE,J34=FALSE,D34&lt;&gt;"",E34&lt;&gt;"",F34&lt;&gt;"",G34&lt;&gt;""),1,0))</x:f>
        <x:v>0</x:v>
      </x:c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3" t="str"/>
      <x:c r="B35" s="43" t="str"/>
      <x:c r="C35" s="43" t="str"/>
      <x:c r="D35" s="43" t="str"/>
      <x:c r="E35" s="43" t="str"/>
      <x:c r="F35" s="43" t="str"/>
      <x:c r="G35" s="44" t="str"/>
      <x:c r="H35" s="53" t="b">
        <x:v>0</x:v>
      </x:c>
      <x:c r="I35" s="53" t="b">
        <x:v>0</x:v>
      </x:c>
      <x:c r="J35" s="53" t="b">
        <x:v>0</x:v>
      </x:c>
      <x:c r="K35" s="43" t="n">
        <x:f>IF(A35="",0,IF(AND(H35=FALSE,I35=FALSE,J35=FALSE,D35&lt;&gt;"",E35&lt;&gt;"",F35&lt;&gt;"",G35&lt;&gt;""),1,0))</x:f>
        <x:v>0</x:v>
      </x:c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3" t="str"/>
      <x:c r="B36" s="43" t="str"/>
      <x:c r="C36" s="43" t="str"/>
      <x:c r="D36" s="43" t="str"/>
      <x:c r="E36" s="43" t="str"/>
      <x:c r="F36" s="43" t="str"/>
      <x:c r="G36" s="44" t="str"/>
      <x:c r="H36" s="53" t="b">
        <x:v>0</x:v>
      </x:c>
      <x:c r="I36" s="53" t="b">
        <x:v>0</x:v>
      </x:c>
      <x:c r="J36" s="53" t="b">
        <x:v>0</x:v>
      </x:c>
      <x:c r="K36" s="43" t="n">
        <x:f>IF(A36="",0,IF(AND(H36=FALSE,I36=FALSE,J36=FALSE,D36&lt;&gt;"",E36&lt;&gt;"",F36&lt;&gt;"",G36&lt;&gt;""),1,0))</x:f>
        <x:v>0</x:v>
      </x:c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3" t="str"/>
      <x:c r="B37" s="43" t="str"/>
      <x:c r="C37" s="43" t="str"/>
      <x:c r="D37" s="43" t="str"/>
      <x:c r="E37" s="43" t="str"/>
      <x:c r="F37" s="43" t="str"/>
      <x:c r="G37" s="44" t="str"/>
      <x:c r="H37" s="53" t="b">
        <x:v>0</x:v>
      </x:c>
      <x:c r="I37" s="53" t="b">
        <x:v>0</x:v>
      </x:c>
      <x:c r="J37" s="53" t="b">
        <x:v>0</x:v>
      </x:c>
      <x:c r="K37" s="43" t="n">
        <x:f>IF(A37="",0,IF(AND(H37=FALSE,I37=FALSE,J37=FALSE,D37&lt;&gt;"",E37&lt;&gt;"",F37&lt;&gt;"",G37&lt;&gt;""),1,0))</x:f>
        <x:v>0</x:v>
      </x:c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3" t="str"/>
      <x:c r="B38" s="43" t="str"/>
      <x:c r="C38" s="43" t="str"/>
      <x:c r="D38" s="43" t="str"/>
      <x:c r="E38" s="43" t="str"/>
      <x:c r="F38" s="43" t="str"/>
      <x:c r="G38" s="44" t="str"/>
      <x:c r="H38" s="53" t="b">
        <x:v>0</x:v>
      </x:c>
      <x:c r="I38" s="53" t="b">
        <x:v>0</x:v>
      </x:c>
      <x:c r="J38" s="53" t="b">
        <x:v>0</x:v>
      </x:c>
      <x:c r="K38" s="43" t="n">
        <x:f>IF(A38="",0,IF(AND(H38=FALSE,I38=FALSE,J38=FALSE,D38&lt;&gt;"",E38&lt;&gt;"",F38&lt;&gt;"",G38&lt;&gt;""),1,0))</x:f>
        <x:v>0</x:v>
      </x:c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3" t="str"/>
      <x:c r="B39" s="43" t="str"/>
      <x:c r="C39" s="43" t="str"/>
      <x:c r="D39" s="43" t="str"/>
      <x:c r="E39" s="43" t="str"/>
      <x:c r="F39" s="43" t="str"/>
      <x:c r="G39" s="44" t="str"/>
      <x:c r="H39" s="53" t="b">
        <x:v>0</x:v>
      </x:c>
      <x:c r="I39" s="53" t="b">
        <x:v>0</x:v>
      </x:c>
      <x:c r="J39" s="53" t="b">
        <x:v>0</x:v>
      </x:c>
      <x:c r="K39" s="43" t="n">
        <x:f>IF(A39="",0,IF(AND(H39=FALSE,I39=FALSE,J39=FALSE,D39&lt;&gt;"",E39&lt;&gt;"",F39&lt;&gt;"",G39&lt;&gt;""),1,0))</x:f>
        <x:v>0</x:v>
      </x:c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3" t="str"/>
      <x:c r="B40" s="43" t="str"/>
      <x:c r="C40" s="43" t="str"/>
      <x:c r="D40" s="43" t="str"/>
      <x:c r="E40" s="43" t="str"/>
      <x:c r="F40" s="43" t="str"/>
      <x:c r="G40" s="44" t="str"/>
      <x:c r="H40" s="53" t="b">
        <x:v>0</x:v>
      </x:c>
      <x:c r="I40" s="53" t="b">
        <x:v>0</x:v>
      </x:c>
      <x:c r="J40" s="53" t="b">
        <x:v>0</x:v>
      </x:c>
      <x:c r="K40" s="43" t="n">
        <x:f>IF(A40="",0,IF(AND(H40=FALSE,I40=FALSE,J40=FALSE,D40&lt;&gt;"",E40&lt;&gt;"",F40&lt;&gt;"",G40&lt;&gt;""),1,0))</x:f>
        <x:v>0</x:v>
      </x:c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3" t="str"/>
      <x:c r="B41" s="43" t="str"/>
      <x:c r="C41" s="43" t="str"/>
      <x:c r="D41" s="43" t="str"/>
      <x:c r="E41" s="43" t="str"/>
      <x:c r="F41" s="43" t="str"/>
      <x:c r="G41" s="44" t="str"/>
      <x:c r="H41" s="53" t="b">
        <x:v>0</x:v>
      </x:c>
      <x:c r="I41" s="53" t="b">
        <x:v>0</x:v>
      </x:c>
      <x:c r="J41" s="53" t="b">
        <x:v>0</x:v>
      </x:c>
      <x:c r="K41" s="43" t="n">
        <x:f>IF(A41="",0,IF(AND(H41=FALSE,I41=FALSE,J41=FALSE,D41&lt;&gt;"",E41&lt;&gt;"",F41&lt;&gt;"",G41&lt;&gt;""),1,0))</x:f>
        <x:v>0</x:v>
      </x:c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3" t="str"/>
      <x:c r="B42" s="43" t="str"/>
      <x:c r="C42" s="43" t="str"/>
      <x:c r="D42" s="43" t="str"/>
      <x:c r="E42" s="43" t="str"/>
      <x:c r="F42" s="43" t="str"/>
      <x:c r="G42" s="44" t="str"/>
      <x:c r="H42" s="53" t="b">
        <x:v>0</x:v>
      </x:c>
      <x:c r="I42" s="53" t="b">
        <x:v>0</x:v>
      </x:c>
      <x:c r="J42" s="53" t="b">
        <x:v>0</x:v>
      </x:c>
      <x:c r="K42" s="43" t="n">
        <x:f>IF(A42="",0,IF(AND(H42=FALSE,I42=FALSE,J42=FALSE,D42&lt;&gt;"",E42&lt;&gt;"",F42&lt;&gt;"",G42&lt;&gt;""),1,0))</x:f>
        <x:v>0</x:v>
      </x:c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3" t="str"/>
      <x:c r="B43" s="43" t="str"/>
      <x:c r="C43" s="43" t="str"/>
      <x:c r="D43" s="43" t="str"/>
      <x:c r="E43" s="43" t="str"/>
      <x:c r="F43" s="43" t="str"/>
      <x:c r="G43" s="44" t="str"/>
      <x:c r="H43" s="53" t="b">
        <x:v>0</x:v>
      </x:c>
      <x:c r="I43" s="53" t="b">
        <x:v>0</x:v>
      </x:c>
      <x:c r="J43" s="53" t="b">
        <x:v>0</x:v>
      </x:c>
      <x:c r="K43" s="43" t="n">
        <x:f>IF(A43="",0,IF(AND(H43=FALSE,I43=FALSE,J43=FALSE,D43&lt;&gt;"",E43&lt;&gt;"",F43&lt;&gt;"",G43&lt;&gt;""),1,0))</x:f>
        <x:v>0</x:v>
      </x:c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3" t="str"/>
      <x:c r="B44" s="43" t="str"/>
      <x:c r="C44" s="43" t="str"/>
      <x:c r="D44" s="43" t="str"/>
      <x:c r="E44" s="43" t="str"/>
      <x:c r="F44" s="43" t="str"/>
      <x:c r="G44" s="44" t="str"/>
      <x:c r="H44" s="53" t="b">
        <x:v>0</x:v>
      </x:c>
      <x:c r="I44" s="53" t="b">
        <x:v>0</x:v>
      </x:c>
      <x:c r="J44" s="53" t="b">
        <x:v>0</x:v>
      </x:c>
      <x:c r="K44" s="43" t="n">
        <x:f>IF(A44="",0,IF(AND(H44=FALSE,I44=FALSE,J44=FALSE,D44&lt;&gt;"",E44&lt;&gt;"",F44&lt;&gt;"",G44&lt;&gt;""),1,0))</x:f>
        <x:v>0</x:v>
      </x:c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3" t="str"/>
      <x:c r="B45" s="43" t="str"/>
      <x:c r="C45" s="43" t="str"/>
      <x:c r="D45" s="43" t="str"/>
      <x:c r="E45" s="43" t="str"/>
      <x:c r="F45" s="43" t="str"/>
      <x:c r="G45" s="44" t="str"/>
      <x:c r="H45" s="53" t="b">
        <x:v>0</x:v>
      </x:c>
      <x:c r="I45" s="53" t="b">
        <x:v>0</x:v>
      </x:c>
      <x:c r="J45" s="53" t="b">
        <x:v>0</x:v>
      </x:c>
      <x:c r="K45" s="43" t="n">
        <x:f>IF(A45="",0,IF(AND(H45=FALSE,I45=FALSE,J45=FALSE,D45&lt;&gt;"",E45&lt;&gt;"",F45&lt;&gt;"",G45&lt;&gt;""),1,0))</x:f>
        <x:v>0</x:v>
      </x:c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3" t="str"/>
      <x:c r="B46" s="43" t="str"/>
      <x:c r="C46" s="43" t="str"/>
      <x:c r="D46" s="43" t="str"/>
      <x:c r="E46" s="43" t="str"/>
      <x:c r="F46" s="43" t="str"/>
      <x:c r="G46" s="44" t="str"/>
      <x:c r="H46" s="53" t="b">
        <x:v>0</x:v>
      </x:c>
      <x:c r="I46" s="53" t="b">
        <x:v>0</x:v>
      </x:c>
      <x:c r="J46" s="53" t="b">
        <x:v>0</x:v>
      </x:c>
      <x:c r="K46" s="43" t="n">
        <x:f>IF(A46="",0,IF(AND(H46=FALSE,I46=FALSE,J46=FALSE,D46&lt;&gt;"",E46&lt;&gt;"",F46&lt;&gt;"",G46&lt;&gt;""),1,0))</x:f>
        <x:v>0</x:v>
      </x:c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3" t="str"/>
      <x:c r="B47" s="43" t="str"/>
      <x:c r="C47" s="43" t="str"/>
      <x:c r="D47" s="43" t="str"/>
      <x:c r="E47" s="43" t="str"/>
      <x:c r="F47" s="43" t="str"/>
      <x:c r="G47" s="44" t="str"/>
      <x:c r="H47" s="53" t="b">
        <x:v>0</x:v>
      </x:c>
      <x:c r="I47" s="53" t="b">
        <x:v>0</x:v>
      </x:c>
      <x:c r="J47" s="53" t="b">
        <x:v>0</x:v>
      </x:c>
      <x:c r="K47" s="43" t="n">
        <x:f>IF(A47="",0,IF(AND(H47=FALSE,I47=FALSE,J47=FALSE,D47&lt;&gt;"",E47&lt;&gt;"",F47&lt;&gt;"",G47&lt;&gt;""),1,0))</x:f>
        <x:v>0</x:v>
      </x:c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3" t="str"/>
      <x:c r="B48" s="43" t="str"/>
      <x:c r="C48" s="43" t="str"/>
      <x:c r="D48" s="43" t="str"/>
      <x:c r="E48" s="43" t="str"/>
      <x:c r="F48" s="43" t="str"/>
      <x:c r="G48" s="44" t="str"/>
      <x:c r="H48" s="53" t="b">
        <x:v>0</x:v>
      </x:c>
      <x:c r="I48" s="53" t="b">
        <x:v>0</x:v>
      </x:c>
      <x:c r="J48" s="53" t="b">
        <x:v>0</x:v>
      </x:c>
      <x:c r="K48" s="43" t="n">
        <x:f>IF(A48="",0,IF(AND(H48=FALSE,I48=FALSE,J48=FALSE,D48&lt;&gt;"",E48&lt;&gt;"",F48&lt;&gt;"",G48&lt;&gt;""),1,0))</x:f>
        <x:v>0</x:v>
      </x:c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3" t="str"/>
      <x:c r="B49" s="43" t="str"/>
      <x:c r="C49" s="43" t="str"/>
      <x:c r="D49" s="43" t="str"/>
      <x:c r="E49" s="43" t="str"/>
      <x:c r="F49" s="43" t="str"/>
      <x:c r="G49" s="44" t="str"/>
      <x:c r="H49" s="53" t="b">
        <x:v>0</x:v>
      </x:c>
      <x:c r="I49" s="53" t="b">
        <x:v>0</x:v>
      </x:c>
      <x:c r="J49" s="53" t="b">
        <x:v>0</x:v>
      </x:c>
      <x:c r="K49" s="43" t="n">
        <x:f>IF(A49="",0,IF(AND(H49=FALSE,I49=FALSE,J49=FALSE,D49&lt;&gt;"",E49&lt;&gt;"",F49&lt;&gt;"",G49&lt;&gt;""),1,0))</x:f>
        <x:v>0</x:v>
      </x:c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3" t="str"/>
      <x:c r="B50" s="43" t="str"/>
      <x:c r="C50" s="43" t="str"/>
      <x:c r="D50" s="43" t="str"/>
      <x:c r="E50" s="43" t="str"/>
      <x:c r="F50" s="43" t="str"/>
      <x:c r="G50" s="44" t="str"/>
      <x:c r="H50" s="53" t="b">
        <x:v>0</x:v>
      </x:c>
      <x:c r="I50" s="53" t="b">
        <x:v>0</x:v>
      </x:c>
      <x:c r="J50" s="53" t="b">
        <x:v>0</x:v>
      </x:c>
      <x:c r="K50" s="43" t="n">
        <x:f>IF(A50="",0,IF(AND(H50=FALSE,I50=FALSE,J50=FALSE,D50&lt;&gt;"",E50&lt;&gt;"",F50&lt;&gt;"",G50&lt;&gt;""),1,0))</x:f>
        <x:v>0</x:v>
      </x:c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3" t="str"/>
      <x:c r="B51" s="43" t="str"/>
      <x:c r="C51" s="43" t="str"/>
      <x:c r="D51" s="43" t="str"/>
      <x:c r="E51" s="43" t="str"/>
      <x:c r="F51" s="43" t="str"/>
      <x:c r="G51" s="44" t="str"/>
      <x:c r="H51" s="53" t="b">
        <x:v>0</x:v>
      </x:c>
      <x:c r="I51" s="53" t="b">
        <x:v>0</x:v>
      </x:c>
      <x:c r="J51" s="53" t="b">
        <x:v>0</x:v>
      </x:c>
      <x:c r="K51" s="43" t="n">
        <x:f>IF(A51="",0,IF(AND(H51=FALSE,I51=FALSE,J51=FALSE,D51&lt;&gt;"",E51&lt;&gt;"",F51&lt;&gt;"",G51&lt;&gt;""),1,0))</x:f>
        <x:v>0</x:v>
      </x:c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3" t="str"/>
      <x:c r="B52" s="43" t="str"/>
      <x:c r="C52" s="43" t="str"/>
      <x:c r="D52" s="43" t="str"/>
      <x:c r="E52" s="43" t="str"/>
      <x:c r="F52" s="43" t="str"/>
      <x:c r="G52" s="44" t="str"/>
      <x:c r="H52" s="53" t="b">
        <x:v>0</x:v>
      </x:c>
      <x:c r="I52" s="53" t="b">
        <x:v>0</x:v>
      </x:c>
      <x:c r="J52" s="53" t="b">
        <x:v>0</x:v>
      </x:c>
      <x:c r="K52" s="43" t="n">
        <x:f>IF(A52="",0,IF(AND(H52=FALSE,I52=FALSE,J52=FALSE,D52&lt;&gt;"",E52&lt;&gt;"",F52&lt;&gt;"",G52&lt;&gt;""),1,0))</x:f>
        <x:v>0</x:v>
      </x:c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3" t="str"/>
      <x:c r="B53" s="43" t="str"/>
      <x:c r="C53" s="43" t="str"/>
      <x:c r="D53" s="43" t="str"/>
      <x:c r="E53" s="43" t="str"/>
      <x:c r="F53" s="43" t="str"/>
      <x:c r="G53" s="44" t="str"/>
      <x:c r="H53" s="53" t="b">
        <x:v>0</x:v>
      </x:c>
      <x:c r="I53" s="53" t="b">
        <x:v>0</x:v>
      </x:c>
      <x:c r="J53" s="53" t="b">
        <x:v>0</x:v>
      </x:c>
      <x:c r="K53" s="43" t="n">
        <x:f>IF(A53="",0,IF(AND(H53=FALSE,I53=FALSE,J53=FALSE,D53&lt;&gt;"",E53&lt;&gt;"",F53&lt;&gt;"",G53&lt;&gt;""),1,0))</x:f>
        <x:v>0</x:v>
      </x:c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3" t="str"/>
      <x:c r="B54" s="43" t="str"/>
      <x:c r="C54" s="43" t="str"/>
      <x:c r="D54" s="43" t="str"/>
      <x:c r="E54" s="43" t="str"/>
      <x:c r="F54" s="43" t="str"/>
      <x:c r="G54" s="44" t="str"/>
      <x:c r="H54" s="53" t="b">
        <x:v>0</x:v>
      </x:c>
      <x:c r="I54" s="53" t="b">
        <x:v>0</x:v>
      </x:c>
      <x:c r="J54" s="53" t="b">
        <x:v>0</x:v>
      </x:c>
      <x:c r="K54" s="43" t="n">
        <x:f>IF(A54="",0,IF(AND(H54=FALSE,I54=FALSE,J54=FALSE,D54&lt;&gt;"",E54&lt;&gt;"",F54&lt;&gt;"",G54&lt;&gt;""),1,0))</x:f>
        <x:v>0</x:v>
      </x:c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K2"/>
  </x:mergeCells>
  <x:conditionalFormatting sqref="H5:J54">
    <x:cfRule type="expression" dxfId="1" priority="1">
      <x:formula>H5=TRUE</x:formula>
    </x:cfRule>
    <x:cfRule type="expression" dxfId="2" priority="2">
      <x:formula>I5=TRUE</x:formula>
    </x:cfRule>
    <x:cfRule type="expression" dxfId="3" priority="3">
      <x:formula>J5=TRUE</x:formula>
    </x:cfRule>
  </x:conditionalFormatting>
  <x:dataValidations count="2">
    <x:dataValidation type="list" sqref="B5:B54">
      <x:formula1>"Approval,CompletionVerification"</x:formula1>
    </x:dataValidation>
    <x:dataValidation type="list" sqref="C5:C54">
      <x:formula1>_Lists!$G$2:$G$4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92cb4ff5004b1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26" hidden="0" customWidth="1"/>
    <x:col min="5" max="5" width="22" hidden="0" customWidth="1"/>
    <x:col min="6" max="6" width="18" hidden="0" customWidth="1"/>
    <x:col min="7" max="7" width="18" hidden="0" customWidth="1"/>
    <x:col min="8" max="8" width="30" hidden="0" customWidth="1"/>
    <x:col min="9" max="9" width="22" hidden="0" customWidth="1"/>
    <x:col min="10" max="10" width="20" hidden="0" customWidth="1"/>
    <x:col min="11" max="11" width="20" hidden="0" customWidth="1"/>
    <x:col min="12" max="12" width="24" hidden="0" customWidth="1"/>
    <x:col min="13" max="13" width="16" hidden="0" customWidth="1"/>
    <x:col min="14" max="14" width="14" hidden="0" customWidth="1"/>
  </x:cols>
  <x:sheetData>
    <x:row r="1">
      <x:c r="A1" s="40" t="str">
        <x:v>سلسلة التتبع من الإشارة إلى العمل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ME_ID</x:v>
      </x:c>
      <x:c r="B4" s="50" t="str">
        <x:v>Risk Run</x:v>
      </x:c>
      <x:c r="C4" s="50" t="str">
        <x:v>Recommendation ID</x:v>
      </x:c>
      <x:c r="D4" s="50" t="str">
        <x:v>Human Review</x:v>
      </x:c>
      <x:c r="E4" s="50" t="str">
        <x:v>Board Decision</x:v>
      </x:c>
      <x:c r="F4" s="50" t="str">
        <x:v>Plan Code</x:v>
      </x:c>
      <x:c r="G4" s="50" t="str">
        <x:v>Plan Approval</x:v>
      </x:c>
      <x:c r="H4" s="50" t="str">
        <x:v>Task Evidence</x:v>
      </x:c>
      <x:c r="I4" s="50" t="str">
        <x:v>Conversion Request</x:v>
      </x:c>
      <x:c r="J4" s="50" t="str">
        <x:v>Finding ID</x:v>
      </x:c>
      <x:c r="K4" s="50" t="str">
        <x:v>CAPA ID</x:v>
      </x:c>
      <x:c r="L4" s="50" t="str">
        <x:v>Completion Verification</x:v>
      </x:c>
      <x:c r="M4" s="50" t="str">
        <x:v>Plan Completed</x:v>
      </x:c>
      <x:c r="N4" s="50" t="str">
        <x:v>Trace Complete</x:v>
      </x:c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/>
      <x:c r="B5" s="43" t="str"/>
      <x:c r="C5" s="43" t="str"/>
      <x:c r="D5" s="43" t="str"/>
      <x:c r="E5" s="43" t="str"/>
      <x:c r="F5" s="43" t="str"/>
      <x:c r="G5" s="43" t="str"/>
      <x:c r="H5" s="43" t="str"/>
      <x:c r="I5" s="43" t="str"/>
      <x:c r="J5" s="43" t="str"/>
      <x:c r="K5" s="43" t="str"/>
      <x:c r="L5" s="43" t="str"/>
      <x:c r="M5" s="43" t="str"/>
      <x:c r="N5" s="43" t="n">
        <x:f>IF(A5="",0,IF(AND(B5&lt;&gt;"",C5&lt;&gt;"",D5="HumanApprovedForPlanning",E5="AdoptForPlanning",F5&lt;&gt;"",G5="Approve",H5&lt;&gt;"",L5="Approve",M5="Completed"),1,0))</x:f>
        <x:v>0</x:v>
      </x:c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 t="str"/>
      <x:c r="B6" s="43" t="str"/>
      <x:c r="C6" s="43" t="str"/>
      <x:c r="D6" s="43" t="str"/>
      <x:c r="E6" s="43" t="str"/>
      <x:c r="F6" s="43" t="str"/>
      <x:c r="G6" s="43" t="str"/>
      <x:c r="H6" s="43" t="str"/>
      <x:c r="I6" s="43" t="str"/>
      <x:c r="J6" s="43" t="str"/>
      <x:c r="K6" s="43" t="str"/>
      <x:c r="L6" s="43" t="str"/>
      <x:c r="M6" s="43" t="str"/>
      <x:c r="N6" s="43" t="n">
        <x:f>IF(A6="",0,IF(AND(B6&lt;&gt;"",C6&lt;&gt;"",D6="HumanApprovedForPlanning",E6="AdoptForPlanning",F6&lt;&gt;"",G6="Approve",H6&lt;&gt;"",L6="Approve",M6="Completed"),1,0))</x:f>
        <x:v>0</x:v>
      </x:c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 t="str"/>
      <x:c r="B7" s="43" t="str"/>
      <x:c r="C7" s="43" t="str"/>
      <x:c r="D7" s="43" t="str"/>
      <x:c r="E7" s="43" t="str"/>
      <x:c r="F7" s="43" t="str"/>
      <x:c r="G7" s="43" t="str"/>
      <x:c r="H7" s="43" t="str"/>
      <x:c r="I7" s="43" t="str"/>
      <x:c r="J7" s="43" t="str"/>
      <x:c r="K7" s="43" t="str"/>
      <x:c r="L7" s="43" t="str"/>
      <x:c r="M7" s="43" t="str"/>
      <x:c r="N7" s="43" t="n">
        <x:f>IF(A7="",0,IF(AND(B7&lt;&gt;"",C7&lt;&gt;"",D7="HumanApprovedForPlanning",E7="AdoptForPlanning",F7&lt;&gt;"",G7="Approve",H7&lt;&gt;"",L7="Approve",M7="Completed"),1,0))</x:f>
        <x:v>0</x:v>
      </x:c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 t="str"/>
      <x:c r="B8" s="43" t="str"/>
      <x:c r="C8" s="43" t="str"/>
      <x:c r="D8" s="43" t="str"/>
      <x:c r="E8" s="43" t="str"/>
      <x:c r="F8" s="43" t="str"/>
      <x:c r="G8" s="43" t="str"/>
      <x:c r="H8" s="43" t="str"/>
      <x:c r="I8" s="43" t="str"/>
      <x:c r="J8" s="43" t="str"/>
      <x:c r="K8" s="43" t="str"/>
      <x:c r="L8" s="43" t="str"/>
      <x:c r="M8" s="43" t="str"/>
      <x:c r="N8" s="43" t="n">
        <x:f>IF(A8="",0,IF(AND(B8&lt;&gt;"",C8&lt;&gt;"",D8="HumanApprovedForPlanning",E8="AdoptForPlanning",F8&lt;&gt;"",G8="Approve",H8&lt;&gt;"",L8="Approve",M8="Completed"),1,0))</x:f>
        <x:v>0</x:v>
      </x:c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 t="str"/>
      <x:c r="B9" s="43" t="str"/>
      <x:c r="C9" s="43" t="str"/>
      <x:c r="D9" s="43" t="str"/>
      <x:c r="E9" s="43" t="str"/>
      <x:c r="F9" s="43" t="str"/>
      <x:c r="G9" s="43" t="str"/>
      <x:c r="H9" s="43" t="str"/>
      <x:c r="I9" s="43" t="str"/>
      <x:c r="J9" s="43" t="str"/>
      <x:c r="K9" s="43" t="str"/>
      <x:c r="L9" s="43" t="str"/>
      <x:c r="M9" s="43" t="str"/>
      <x:c r="N9" s="43" t="n">
        <x:f>IF(A9="",0,IF(AND(B9&lt;&gt;"",C9&lt;&gt;"",D9="HumanApprovedForPlanning",E9="AdoptForPlanning",F9&lt;&gt;"",G9="Approve",H9&lt;&gt;"",L9="Approve",M9="Completed"),1,0))</x:f>
        <x:v>0</x:v>
      </x:c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 t="str"/>
      <x:c r="B10" s="43" t="str"/>
      <x:c r="C10" s="43" t="str"/>
      <x:c r="D10" s="43" t="str"/>
      <x:c r="E10" s="43" t="str"/>
      <x:c r="F10" s="43" t="str"/>
      <x:c r="G10" s="43" t="str"/>
      <x:c r="H10" s="43" t="str"/>
      <x:c r="I10" s="43" t="str"/>
      <x:c r="J10" s="43" t="str"/>
      <x:c r="K10" s="43" t="str"/>
      <x:c r="L10" s="43" t="str"/>
      <x:c r="M10" s="43" t="str"/>
      <x:c r="N10" s="43" t="n">
        <x:f>IF(A10="",0,IF(AND(B10&lt;&gt;"",C10&lt;&gt;"",D10="HumanApprovedForPlanning",E10="AdoptForPlanning",F10&lt;&gt;"",G10="Approve",H10&lt;&gt;"",L10="Approve",M10="Completed"),1,0))</x:f>
        <x:v>0</x:v>
      </x:c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 t="str"/>
      <x:c r="B11" s="43" t="str"/>
      <x:c r="C11" s="43" t="str"/>
      <x:c r="D11" s="43" t="str"/>
      <x:c r="E11" s="43" t="str"/>
      <x:c r="F11" s="43" t="str"/>
      <x:c r="G11" s="43" t="str"/>
      <x:c r="H11" s="43" t="str"/>
      <x:c r="I11" s="43" t="str"/>
      <x:c r="J11" s="43" t="str"/>
      <x:c r="K11" s="43" t="str"/>
      <x:c r="L11" s="43" t="str"/>
      <x:c r="M11" s="43" t="str"/>
      <x:c r="N11" s="43" t="n">
        <x:f>IF(A11="",0,IF(AND(B11&lt;&gt;"",C11&lt;&gt;"",D11="HumanApprovedForPlanning",E11="AdoptForPlanning",F11&lt;&gt;"",G11="Approve",H11&lt;&gt;"",L11="Approve",M11="Completed"),1,0))</x:f>
        <x:v>0</x:v>
      </x:c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 t="str"/>
      <x:c r="B12" s="43" t="str"/>
      <x:c r="C12" s="43" t="str"/>
      <x:c r="D12" s="43" t="str"/>
      <x:c r="E12" s="43" t="str"/>
      <x:c r="F12" s="43" t="str"/>
      <x:c r="G12" s="43" t="str"/>
      <x:c r="H12" s="43" t="str"/>
      <x:c r="I12" s="43" t="str"/>
      <x:c r="J12" s="43" t="str"/>
      <x:c r="K12" s="43" t="str"/>
      <x:c r="L12" s="43" t="str"/>
      <x:c r="M12" s="43" t="str"/>
      <x:c r="N12" s="43" t="n">
        <x:f>IF(A12="",0,IF(AND(B12&lt;&gt;"",C12&lt;&gt;"",D12="HumanApprovedForPlanning",E12="AdoptForPlanning",F12&lt;&gt;"",G12="Approve",H12&lt;&gt;"",L12="Approve",M12="Completed"),1,0))</x:f>
        <x:v>0</x:v>
      </x:c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 t="str"/>
      <x:c r="B13" s="43" t="str"/>
      <x:c r="C13" s="43" t="str"/>
      <x:c r="D13" s="43" t="str"/>
      <x:c r="E13" s="43" t="str"/>
      <x:c r="F13" s="43" t="str"/>
      <x:c r="G13" s="43" t="str"/>
      <x:c r="H13" s="43" t="str"/>
      <x:c r="I13" s="43" t="str"/>
      <x:c r="J13" s="43" t="str"/>
      <x:c r="K13" s="43" t="str"/>
      <x:c r="L13" s="43" t="str"/>
      <x:c r="M13" s="43" t="str"/>
      <x:c r="N13" s="43" t="n">
        <x:f>IF(A13="",0,IF(AND(B13&lt;&gt;"",C13&lt;&gt;"",D13="HumanApprovedForPlanning",E13="AdoptForPlanning",F13&lt;&gt;"",G13="Approve",H13&lt;&gt;"",L13="Approve",M13="Completed"),1,0))</x:f>
        <x:v>0</x:v>
      </x:c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 t="str"/>
      <x:c r="B14" s="43" t="str"/>
      <x:c r="C14" s="43" t="str"/>
      <x:c r="D14" s="43" t="str"/>
      <x:c r="E14" s="43" t="str"/>
      <x:c r="F14" s="43" t="str"/>
      <x:c r="G14" s="43" t="str"/>
      <x:c r="H14" s="43" t="str"/>
      <x:c r="I14" s="43" t="str"/>
      <x:c r="J14" s="43" t="str"/>
      <x:c r="K14" s="43" t="str"/>
      <x:c r="L14" s="43" t="str"/>
      <x:c r="M14" s="43" t="str"/>
      <x:c r="N14" s="43" t="n">
        <x:f>IF(A14="",0,IF(AND(B14&lt;&gt;"",C14&lt;&gt;"",D14="HumanApprovedForPlanning",E14="AdoptForPlanning",F14&lt;&gt;"",G14="Approve",H14&lt;&gt;"",L14="Approve",M14="Completed"),1,0))</x:f>
        <x:v>0</x:v>
      </x:c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 t="str"/>
      <x:c r="B15" s="43" t="str"/>
      <x:c r="C15" s="43" t="str"/>
      <x:c r="D15" s="43" t="str"/>
      <x:c r="E15" s="43" t="str"/>
      <x:c r="F15" s="43" t="str"/>
      <x:c r="G15" s="43" t="str"/>
      <x:c r="H15" s="43" t="str"/>
      <x:c r="I15" s="43" t="str"/>
      <x:c r="J15" s="43" t="str"/>
      <x:c r="K15" s="43" t="str"/>
      <x:c r="L15" s="43" t="str"/>
      <x:c r="M15" s="43" t="str"/>
      <x:c r="N15" s="43" t="n">
        <x:f>IF(A15="",0,IF(AND(B15&lt;&gt;"",C15&lt;&gt;"",D15="HumanApprovedForPlanning",E15="AdoptForPlanning",F15&lt;&gt;"",G15="Approve",H15&lt;&gt;"",L15="Approve",M15="Completed"),1,0))</x:f>
        <x:v>0</x:v>
      </x:c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 t="str"/>
      <x:c r="B16" s="43" t="str"/>
      <x:c r="C16" s="43" t="str"/>
      <x:c r="D16" s="43" t="str"/>
      <x:c r="E16" s="43" t="str"/>
      <x:c r="F16" s="43" t="str"/>
      <x:c r="G16" s="43" t="str"/>
      <x:c r="H16" s="43" t="str"/>
      <x:c r="I16" s="43" t="str"/>
      <x:c r="J16" s="43" t="str"/>
      <x:c r="K16" s="43" t="str"/>
      <x:c r="L16" s="43" t="str"/>
      <x:c r="M16" s="43" t="str"/>
      <x:c r="N16" s="43" t="n">
        <x:f>IF(A16="",0,IF(AND(B16&lt;&gt;"",C16&lt;&gt;"",D16="HumanApprovedForPlanning",E16="AdoptForPlanning",F16&lt;&gt;"",G16="Approve",H16&lt;&gt;"",L16="Approve",M16="Completed"),1,0))</x:f>
        <x:v>0</x:v>
      </x:c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 t="str"/>
      <x:c r="B17" s="43" t="str"/>
      <x:c r="C17" s="43" t="str"/>
      <x:c r="D17" s="43" t="str"/>
      <x:c r="E17" s="43" t="str"/>
      <x:c r="F17" s="43" t="str"/>
      <x:c r="G17" s="43" t="str"/>
      <x:c r="H17" s="43" t="str"/>
      <x:c r="I17" s="43" t="str"/>
      <x:c r="J17" s="43" t="str"/>
      <x:c r="K17" s="43" t="str"/>
      <x:c r="L17" s="43" t="str"/>
      <x:c r="M17" s="43" t="str"/>
      <x:c r="N17" s="43" t="n">
        <x:f>IF(A17="",0,IF(AND(B17&lt;&gt;"",C17&lt;&gt;"",D17="HumanApprovedForPlanning",E17="AdoptForPlanning",F17&lt;&gt;"",G17="Approve",H17&lt;&gt;"",L17="Approve",M17="Completed"),1,0))</x:f>
        <x:v>0</x:v>
      </x:c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 t="str"/>
      <x:c r="B18" s="43" t="str"/>
      <x:c r="C18" s="43" t="str"/>
      <x:c r="D18" s="43" t="str"/>
      <x:c r="E18" s="43" t="str"/>
      <x:c r="F18" s="43" t="str"/>
      <x:c r="G18" s="43" t="str"/>
      <x:c r="H18" s="43" t="str"/>
      <x:c r="I18" s="43" t="str"/>
      <x:c r="J18" s="43" t="str"/>
      <x:c r="K18" s="43" t="str"/>
      <x:c r="L18" s="43" t="str"/>
      <x:c r="M18" s="43" t="str"/>
      <x:c r="N18" s="43" t="n">
        <x:f>IF(A18="",0,IF(AND(B18&lt;&gt;"",C18&lt;&gt;"",D18="HumanApprovedForPlanning",E18="AdoptForPlanning",F18&lt;&gt;"",G18="Approve",H18&lt;&gt;"",L18="Approve",M18="Completed"),1,0))</x:f>
        <x:v>0</x:v>
      </x:c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 t="str"/>
      <x:c r="B19" s="43" t="str"/>
      <x:c r="C19" s="43" t="str"/>
      <x:c r="D19" s="43" t="str"/>
      <x:c r="E19" s="43" t="str"/>
      <x:c r="F19" s="43" t="str"/>
      <x:c r="G19" s="43" t="str"/>
      <x:c r="H19" s="43" t="str"/>
      <x:c r="I19" s="43" t="str"/>
      <x:c r="J19" s="43" t="str"/>
      <x:c r="K19" s="43" t="str"/>
      <x:c r="L19" s="43" t="str"/>
      <x:c r="M19" s="43" t="str"/>
      <x:c r="N19" s="43" t="n">
        <x:f>IF(A19="",0,IF(AND(B19&lt;&gt;"",C19&lt;&gt;"",D19="HumanApprovedForPlanning",E19="AdoptForPlanning",F19&lt;&gt;"",G19="Approve",H19&lt;&gt;"",L19="Approve",M19="Completed"),1,0))</x:f>
        <x:v>0</x:v>
      </x:c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 t="str"/>
      <x:c r="B20" s="43" t="str"/>
      <x:c r="C20" s="43" t="str"/>
      <x:c r="D20" s="43" t="str"/>
      <x:c r="E20" s="43" t="str"/>
      <x:c r="F20" s="43" t="str"/>
      <x:c r="G20" s="43" t="str"/>
      <x:c r="H20" s="43" t="str"/>
      <x:c r="I20" s="43" t="str"/>
      <x:c r="J20" s="43" t="str"/>
      <x:c r="K20" s="43" t="str"/>
      <x:c r="L20" s="43" t="str"/>
      <x:c r="M20" s="43" t="str"/>
      <x:c r="N20" s="43" t="n">
        <x:f>IF(A20="",0,IF(AND(B20&lt;&gt;"",C20&lt;&gt;"",D20="HumanApprovedForPlanning",E20="AdoptForPlanning",F20&lt;&gt;"",G20="Approve",H20&lt;&gt;"",L20="Approve",M20="Completed"),1,0))</x:f>
        <x:v>0</x:v>
      </x:c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 t="str"/>
      <x:c r="B21" s="43" t="str"/>
      <x:c r="C21" s="43" t="str"/>
      <x:c r="D21" s="43" t="str"/>
      <x:c r="E21" s="43" t="str"/>
      <x:c r="F21" s="43" t="str"/>
      <x:c r="G21" s="43" t="str"/>
      <x:c r="H21" s="43" t="str"/>
      <x:c r="I21" s="43" t="str"/>
      <x:c r="J21" s="43" t="str"/>
      <x:c r="K21" s="43" t="str"/>
      <x:c r="L21" s="43" t="str"/>
      <x:c r="M21" s="43" t="str"/>
      <x:c r="N21" s="43" t="n">
        <x:f>IF(A21="",0,IF(AND(B21&lt;&gt;"",C21&lt;&gt;"",D21="HumanApprovedForPlanning",E21="AdoptForPlanning",F21&lt;&gt;"",G21="Approve",H21&lt;&gt;"",L21="Approve",M21="Completed"),1,0))</x:f>
        <x:v>0</x:v>
      </x:c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 t="str"/>
      <x:c r="B22" s="43" t="str"/>
      <x:c r="C22" s="43" t="str"/>
      <x:c r="D22" s="43" t="str"/>
      <x:c r="E22" s="43" t="str"/>
      <x:c r="F22" s="43" t="str"/>
      <x:c r="G22" s="43" t="str"/>
      <x:c r="H22" s="43" t="str"/>
      <x:c r="I22" s="43" t="str"/>
      <x:c r="J22" s="43" t="str"/>
      <x:c r="K22" s="43" t="str"/>
      <x:c r="L22" s="43" t="str"/>
      <x:c r="M22" s="43" t="str"/>
      <x:c r="N22" s="43" t="n">
        <x:f>IF(A22="",0,IF(AND(B22&lt;&gt;"",C22&lt;&gt;"",D22="HumanApprovedForPlanning",E22="AdoptForPlanning",F22&lt;&gt;"",G22="Approve",H22&lt;&gt;"",L22="Approve",M22="Completed"),1,0))</x:f>
        <x:v>0</x:v>
      </x:c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 t="str"/>
      <x:c r="B23" s="43" t="str"/>
      <x:c r="C23" s="43" t="str"/>
      <x:c r="D23" s="43" t="str"/>
      <x:c r="E23" s="43" t="str"/>
      <x:c r="F23" s="43" t="str"/>
      <x:c r="G23" s="43" t="str"/>
      <x:c r="H23" s="43" t="str"/>
      <x:c r="I23" s="43" t="str"/>
      <x:c r="J23" s="43" t="str"/>
      <x:c r="K23" s="43" t="str"/>
      <x:c r="L23" s="43" t="str"/>
      <x:c r="M23" s="43" t="str"/>
      <x:c r="N23" s="43" t="n">
        <x:f>IF(A23="",0,IF(AND(B23&lt;&gt;"",C23&lt;&gt;"",D23="HumanApprovedForPlanning",E23="AdoptForPlanning",F23&lt;&gt;"",G23="Approve",H23&lt;&gt;"",L23="Approve",M23="Completed"),1,0))</x:f>
        <x:v>0</x:v>
      </x:c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 t="str"/>
      <x:c r="B24" s="43" t="str"/>
      <x:c r="C24" s="43" t="str"/>
      <x:c r="D24" s="43" t="str"/>
      <x:c r="E24" s="43" t="str"/>
      <x:c r="F24" s="43" t="str"/>
      <x:c r="G24" s="43" t="str"/>
      <x:c r="H24" s="43" t="str"/>
      <x:c r="I24" s="43" t="str"/>
      <x:c r="J24" s="43" t="str"/>
      <x:c r="K24" s="43" t="str"/>
      <x:c r="L24" s="43" t="str"/>
      <x:c r="M24" s="43" t="str"/>
      <x:c r="N24" s="43" t="n">
        <x:f>IF(A24="",0,IF(AND(B24&lt;&gt;"",C24&lt;&gt;"",D24="HumanApprovedForPlanning",E24="AdoptForPlanning",F24&lt;&gt;"",G24="Approve",H24&lt;&gt;"",L24="Approve",M24="Completed"),1,0))</x:f>
        <x:v>0</x:v>
      </x:c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3" t="str"/>
      <x:c r="B25" s="43" t="str"/>
      <x:c r="C25" s="43" t="str"/>
      <x:c r="D25" s="43" t="str"/>
      <x:c r="E25" s="43" t="str"/>
      <x:c r="F25" s="43" t="str"/>
      <x:c r="G25" s="43" t="str"/>
      <x:c r="H25" s="43" t="str"/>
      <x:c r="I25" s="43" t="str"/>
      <x:c r="J25" s="43" t="str"/>
      <x:c r="K25" s="43" t="str"/>
      <x:c r="L25" s="43" t="str"/>
      <x:c r="M25" s="43" t="str"/>
      <x:c r="N25" s="43" t="n">
        <x:f>IF(A25="",0,IF(AND(B25&lt;&gt;"",C25&lt;&gt;"",D25="HumanApprovedForPlanning",E25="AdoptForPlanning",F25&lt;&gt;"",G25="Approve",H25&lt;&gt;"",L25="Approve",M25="Completed"),1,0))</x:f>
        <x:v>0</x:v>
      </x:c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3" t="str"/>
      <x:c r="B26" s="43" t="str"/>
      <x:c r="C26" s="43" t="str"/>
      <x:c r="D26" s="43" t="str"/>
      <x:c r="E26" s="43" t="str"/>
      <x:c r="F26" s="43" t="str"/>
      <x:c r="G26" s="43" t="str"/>
      <x:c r="H26" s="43" t="str"/>
      <x:c r="I26" s="43" t="str"/>
      <x:c r="J26" s="43" t="str"/>
      <x:c r="K26" s="43" t="str"/>
      <x:c r="L26" s="43" t="str"/>
      <x:c r="M26" s="43" t="str"/>
      <x:c r="N26" s="43" t="n">
        <x:f>IF(A26="",0,IF(AND(B26&lt;&gt;"",C26&lt;&gt;"",D26="HumanApprovedForPlanning",E26="AdoptForPlanning",F26&lt;&gt;"",G26="Approve",H26&lt;&gt;"",L26="Approve",M26="Completed"),1,0))</x:f>
        <x:v>0</x:v>
      </x:c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3" t="str"/>
      <x:c r="B27" s="43" t="str"/>
      <x:c r="C27" s="43" t="str"/>
      <x:c r="D27" s="43" t="str"/>
      <x:c r="E27" s="43" t="str"/>
      <x:c r="F27" s="43" t="str"/>
      <x:c r="G27" s="43" t="str"/>
      <x:c r="H27" s="43" t="str"/>
      <x:c r="I27" s="43" t="str"/>
      <x:c r="J27" s="43" t="str"/>
      <x:c r="K27" s="43" t="str"/>
      <x:c r="L27" s="43" t="str"/>
      <x:c r="M27" s="43" t="str"/>
      <x:c r="N27" s="43" t="n">
        <x:f>IF(A27="",0,IF(AND(B27&lt;&gt;"",C27&lt;&gt;"",D27="HumanApprovedForPlanning",E27="AdoptForPlanning",F27&lt;&gt;"",G27="Approve",H27&lt;&gt;"",L27="Approve",M27="Completed"),1,0))</x:f>
        <x:v>0</x:v>
      </x:c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3" t="str"/>
      <x:c r="B28" s="43" t="str"/>
      <x:c r="C28" s="43" t="str"/>
      <x:c r="D28" s="43" t="str"/>
      <x:c r="E28" s="43" t="str"/>
      <x:c r="F28" s="43" t="str"/>
      <x:c r="G28" s="43" t="str"/>
      <x:c r="H28" s="43" t="str"/>
      <x:c r="I28" s="43" t="str"/>
      <x:c r="J28" s="43" t="str"/>
      <x:c r="K28" s="43" t="str"/>
      <x:c r="L28" s="43" t="str"/>
      <x:c r="M28" s="43" t="str"/>
      <x:c r="N28" s="43" t="n">
        <x:f>IF(A28="",0,IF(AND(B28&lt;&gt;"",C28&lt;&gt;"",D28="HumanApprovedForPlanning",E28="AdoptForPlanning",F28&lt;&gt;"",G28="Approve",H28&lt;&gt;"",L28="Approve",M28="Completed"),1,0))</x:f>
        <x:v>0</x:v>
      </x:c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3" t="str"/>
      <x:c r="B29" s="43" t="str"/>
      <x:c r="C29" s="43" t="str"/>
      <x:c r="D29" s="43" t="str"/>
      <x:c r="E29" s="43" t="str"/>
      <x:c r="F29" s="43" t="str"/>
      <x:c r="G29" s="43" t="str"/>
      <x:c r="H29" s="43" t="str"/>
      <x:c r="I29" s="43" t="str"/>
      <x:c r="J29" s="43" t="str"/>
      <x:c r="K29" s="43" t="str"/>
      <x:c r="L29" s="43" t="str"/>
      <x:c r="M29" s="43" t="str"/>
      <x:c r="N29" s="43" t="n">
        <x:f>IF(A29="",0,IF(AND(B29&lt;&gt;"",C29&lt;&gt;"",D29="HumanApprovedForPlanning",E29="AdoptForPlanning",F29&lt;&gt;"",G29="Approve",H29&lt;&gt;"",L29="Approve",M29="Completed"),1,0))</x:f>
        <x:v>0</x:v>
      </x:c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3" t="str"/>
      <x:c r="B30" s="43" t="str"/>
      <x:c r="C30" s="43" t="str"/>
      <x:c r="D30" s="43" t="str"/>
      <x:c r="E30" s="43" t="str"/>
      <x:c r="F30" s="43" t="str"/>
      <x:c r="G30" s="43" t="str"/>
      <x:c r="H30" s="43" t="str"/>
      <x:c r="I30" s="43" t="str"/>
      <x:c r="J30" s="43" t="str"/>
      <x:c r="K30" s="43" t="str"/>
      <x:c r="L30" s="43" t="str"/>
      <x:c r="M30" s="43" t="str"/>
      <x:c r="N30" s="43" t="n">
        <x:f>IF(A30="",0,IF(AND(B30&lt;&gt;"",C30&lt;&gt;"",D30="HumanApprovedForPlanning",E30="AdoptForPlanning",F30&lt;&gt;"",G30="Approve",H30&lt;&gt;"",L30="Approve",M30="Completed"),1,0))</x:f>
        <x:v>0</x:v>
      </x:c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3" t="str"/>
      <x:c r="B31" s="43" t="str"/>
      <x:c r="C31" s="43" t="str"/>
      <x:c r="D31" s="43" t="str"/>
      <x:c r="E31" s="43" t="str"/>
      <x:c r="F31" s="43" t="str"/>
      <x:c r="G31" s="43" t="str"/>
      <x:c r="H31" s="43" t="str"/>
      <x:c r="I31" s="43" t="str"/>
      <x:c r="J31" s="43" t="str"/>
      <x:c r="K31" s="43" t="str"/>
      <x:c r="L31" s="43" t="str"/>
      <x:c r="M31" s="43" t="str"/>
      <x:c r="N31" s="43" t="n">
        <x:f>IF(A31="",0,IF(AND(B31&lt;&gt;"",C31&lt;&gt;"",D31="HumanApprovedForPlanning",E31="AdoptForPlanning",F31&lt;&gt;"",G31="Approve",H31&lt;&gt;"",L31="Approve",M31="Completed"),1,0))</x:f>
        <x:v>0</x:v>
      </x:c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3" t="str"/>
      <x:c r="B32" s="43" t="str"/>
      <x:c r="C32" s="43" t="str"/>
      <x:c r="D32" s="43" t="str"/>
      <x:c r="E32" s="43" t="str"/>
      <x:c r="F32" s="43" t="str"/>
      <x:c r="G32" s="43" t="str"/>
      <x:c r="H32" s="43" t="str"/>
      <x:c r="I32" s="43" t="str"/>
      <x:c r="J32" s="43" t="str"/>
      <x:c r="K32" s="43" t="str"/>
      <x:c r="L32" s="43" t="str"/>
      <x:c r="M32" s="43" t="str"/>
      <x:c r="N32" s="43" t="n">
        <x:f>IF(A32="",0,IF(AND(B32&lt;&gt;"",C32&lt;&gt;"",D32="HumanApprovedForPlanning",E32="AdoptForPlanning",F32&lt;&gt;"",G32="Approve",H32&lt;&gt;"",L32="Approve",M32="Completed"),1,0))</x:f>
        <x:v>0</x:v>
      </x:c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3" t="str"/>
      <x:c r="B33" s="43" t="str"/>
      <x:c r="C33" s="43" t="str"/>
      <x:c r="D33" s="43" t="str"/>
      <x:c r="E33" s="43" t="str"/>
      <x:c r="F33" s="43" t="str"/>
      <x:c r="G33" s="43" t="str"/>
      <x:c r="H33" s="43" t="str"/>
      <x:c r="I33" s="43" t="str"/>
      <x:c r="J33" s="43" t="str"/>
      <x:c r="K33" s="43" t="str"/>
      <x:c r="L33" s="43" t="str"/>
      <x:c r="M33" s="43" t="str"/>
      <x:c r="N33" s="43" t="n">
        <x:f>IF(A33="",0,IF(AND(B33&lt;&gt;"",C33&lt;&gt;"",D33="HumanApprovedForPlanning",E33="AdoptForPlanning",F33&lt;&gt;"",G33="Approve",H33&lt;&gt;"",L33="Approve",M33="Completed"),1,0))</x:f>
        <x:v>0</x:v>
      </x:c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3" t="str"/>
      <x:c r="B34" s="43" t="str"/>
      <x:c r="C34" s="43" t="str"/>
      <x:c r="D34" s="43" t="str"/>
      <x:c r="E34" s="43" t="str"/>
      <x:c r="F34" s="43" t="str"/>
      <x:c r="G34" s="43" t="str"/>
      <x:c r="H34" s="43" t="str"/>
      <x:c r="I34" s="43" t="str"/>
      <x:c r="J34" s="43" t="str"/>
      <x:c r="K34" s="43" t="str"/>
      <x:c r="L34" s="43" t="str"/>
      <x:c r="M34" s="43" t="str"/>
      <x:c r="N34" s="43" t="n">
        <x:f>IF(A34="",0,IF(AND(B34&lt;&gt;"",C34&lt;&gt;"",D34="HumanApprovedForPlanning",E34="AdoptForPlanning",F34&lt;&gt;"",G34="Approve",H34&lt;&gt;"",L34="Approve",M34="Completed"),1,0))</x:f>
        <x:v>0</x:v>
      </x:c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3" t="str"/>
      <x:c r="B35" s="43" t="str"/>
      <x:c r="C35" s="43" t="str"/>
      <x:c r="D35" s="43" t="str"/>
      <x:c r="E35" s="43" t="str"/>
      <x:c r="F35" s="43" t="str"/>
      <x:c r="G35" s="43" t="str"/>
      <x:c r="H35" s="43" t="str"/>
      <x:c r="I35" s="43" t="str"/>
      <x:c r="J35" s="43" t="str"/>
      <x:c r="K35" s="43" t="str"/>
      <x:c r="L35" s="43" t="str"/>
      <x:c r="M35" s="43" t="str"/>
      <x:c r="N35" s="43" t="n">
        <x:f>IF(A35="",0,IF(AND(B35&lt;&gt;"",C35&lt;&gt;"",D35="HumanApprovedForPlanning",E35="AdoptForPlanning",F35&lt;&gt;"",G35="Approve",H35&lt;&gt;"",L35="Approve",M35="Completed"),1,0))</x:f>
        <x:v>0</x:v>
      </x:c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3" t="str"/>
      <x:c r="B36" s="43" t="str"/>
      <x:c r="C36" s="43" t="str"/>
      <x:c r="D36" s="43" t="str"/>
      <x:c r="E36" s="43" t="str"/>
      <x:c r="F36" s="43" t="str"/>
      <x:c r="G36" s="43" t="str"/>
      <x:c r="H36" s="43" t="str"/>
      <x:c r="I36" s="43" t="str"/>
      <x:c r="J36" s="43" t="str"/>
      <x:c r="K36" s="43" t="str"/>
      <x:c r="L36" s="43" t="str"/>
      <x:c r="M36" s="43" t="str"/>
      <x:c r="N36" s="43" t="n">
        <x:f>IF(A36="",0,IF(AND(B36&lt;&gt;"",C36&lt;&gt;"",D36="HumanApprovedForPlanning",E36="AdoptForPlanning",F36&lt;&gt;"",G36="Approve",H36&lt;&gt;"",L36="Approve",M36="Completed"),1,0))</x:f>
        <x:v>0</x:v>
      </x:c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3" t="str"/>
      <x:c r="B37" s="43" t="str"/>
      <x:c r="C37" s="43" t="str"/>
      <x:c r="D37" s="43" t="str"/>
      <x:c r="E37" s="43" t="str"/>
      <x:c r="F37" s="43" t="str"/>
      <x:c r="G37" s="43" t="str"/>
      <x:c r="H37" s="43" t="str"/>
      <x:c r="I37" s="43" t="str"/>
      <x:c r="J37" s="43" t="str"/>
      <x:c r="K37" s="43" t="str"/>
      <x:c r="L37" s="43" t="str"/>
      <x:c r="M37" s="43" t="str"/>
      <x:c r="N37" s="43" t="n">
        <x:f>IF(A37="",0,IF(AND(B37&lt;&gt;"",C37&lt;&gt;"",D37="HumanApprovedForPlanning",E37="AdoptForPlanning",F37&lt;&gt;"",G37="Approve",H37&lt;&gt;"",L37="Approve",M37="Completed"),1,0))</x:f>
        <x:v>0</x:v>
      </x:c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3" t="str"/>
      <x:c r="B38" s="43" t="str"/>
      <x:c r="C38" s="43" t="str"/>
      <x:c r="D38" s="43" t="str"/>
      <x:c r="E38" s="43" t="str"/>
      <x:c r="F38" s="43" t="str"/>
      <x:c r="G38" s="43" t="str"/>
      <x:c r="H38" s="43" t="str"/>
      <x:c r="I38" s="43" t="str"/>
      <x:c r="J38" s="43" t="str"/>
      <x:c r="K38" s="43" t="str"/>
      <x:c r="L38" s="43" t="str"/>
      <x:c r="M38" s="43" t="str"/>
      <x:c r="N38" s="43" t="n">
        <x:f>IF(A38="",0,IF(AND(B38&lt;&gt;"",C38&lt;&gt;"",D38="HumanApprovedForPlanning",E38="AdoptForPlanning",F38&lt;&gt;"",G38="Approve",H38&lt;&gt;"",L38="Approve",M38="Completed"),1,0))</x:f>
        <x:v>0</x:v>
      </x:c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3" t="str"/>
      <x:c r="B39" s="43" t="str"/>
      <x:c r="C39" s="43" t="str"/>
      <x:c r="D39" s="43" t="str"/>
      <x:c r="E39" s="43" t="str"/>
      <x:c r="F39" s="43" t="str"/>
      <x:c r="G39" s="43" t="str"/>
      <x:c r="H39" s="43" t="str"/>
      <x:c r="I39" s="43" t="str"/>
      <x:c r="J39" s="43" t="str"/>
      <x:c r="K39" s="43" t="str"/>
      <x:c r="L39" s="43" t="str"/>
      <x:c r="M39" s="43" t="str"/>
      <x:c r="N39" s="43" t="n">
        <x:f>IF(A39="",0,IF(AND(B39&lt;&gt;"",C39&lt;&gt;"",D39="HumanApprovedForPlanning",E39="AdoptForPlanning",F39&lt;&gt;"",G39="Approve",H39&lt;&gt;"",L39="Approve",M39="Completed"),1,0))</x:f>
        <x:v>0</x:v>
      </x:c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3" t="str"/>
      <x:c r="B40" s="43" t="str"/>
      <x:c r="C40" s="43" t="str"/>
      <x:c r="D40" s="43" t="str"/>
      <x:c r="E40" s="43" t="str"/>
      <x:c r="F40" s="43" t="str"/>
      <x:c r="G40" s="43" t="str"/>
      <x:c r="H40" s="43" t="str"/>
      <x:c r="I40" s="43" t="str"/>
      <x:c r="J40" s="43" t="str"/>
      <x:c r="K40" s="43" t="str"/>
      <x:c r="L40" s="43" t="str"/>
      <x:c r="M40" s="43" t="str"/>
      <x:c r="N40" s="43" t="n">
        <x:f>IF(A40="",0,IF(AND(B40&lt;&gt;"",C40&lt;&gt;"",D40="HumanApprovedForPlanning",E40="AdoptForPlanning",F40&lt;&gt;"",G40="Approve",H40&lt;&gt;"",L40="Approve",M40="Completed"),1,0))</x:f>
        <x:v>0</x:v>
      </x:c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3" t="str"/>
      <x:c r="B41" s="43" t="str"/>
      <x:c r="C41" s="43" t="str"/>
      <x:c r="D41" s="43" t="str"/>
      <x:c r="E41" s="43" t="str"/>
      <x:c r="F41" s="43" t="str"/>
      <x:c r="G41" s="43" t="str"/>
      <x:c r="H41" s="43" t="str"/>
      <x:c r="I41" s="43" t="str"/>
      <x:c r="J41" s="43" t="str"/>
      <x:c r="K41" s="43" t="str"/>
      <x:c r="L41" s="43" t="str"/>
      <x:c r="M41" s="43" t="str"/>
      <x:c r="N41" s="43" t="n">
        <x:f>IF(A41="",0,IF(AND(B41&lt;&gt;"",C41&lt;&gt;"",D41="HumanApprovedForPlanning",E41="AdoptForPlanning",F41&lt;&gt;"",G41="Approve",H41&lt;&gt;"",L41="Approve",M41="Completed"),1,0))</x:f>
        <x:v>0</x:v>
      </x:c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3" t="str"/>
      <x:c r="B42" s="43" t="str"/>
      <x:c r="C42" s="43" t="str"/>
      <x:c r="D42" s="43" t="str"/>
      <x:c r="E42" s="43" t="str"/>
      <x:c r="F42" s="43" t="str"/>
      <x:c r="G42" s="43" t="str"/>
      <x:c r="H42" s="43" t="str"/>
      <x:c r="I42" s="43" t="str"/>
      <x:c r="J42" s="43" t="str"/>
      <x:c r="K42" s="43" t="str"/>
      <x:c r="L42" s="43" t="str"/>
      <x:c r="M42" s="43" t="str"/>
      <x:c r="N42" s="43" t="n">
        <x:f>IF(A42="",0,IF(AND(B42&lt;&gt;"",C42&lt;&gt;"",D42="HumanApprovedForPlanning",E42="AdoptForPlanning",F42&lt;&gt;"",G42="Approve",H42&lt;&gt;"",L42="Approve",M42="Completed"),1,0))</x:f>
        <x:v>0</x:v>
      </x:c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3" t="str"/>
      <x:c r="B43" s="43" t="str"/>
      <x:c r="C43" s="43" t="str"/>
      <x:c r="D43" s="43" t="str"/>
      <x:c r="E43" s="43" t="str"/>
      <x:c r="F43" s="43" t="str"/>
      <x:c r="G43" s="43" t="str"/>
      <x:c r="H43" s="43" t="str"/>
      <x:c r="I43" s="43" t="str"/>
      <x:c r="J43" s="43" t="str"/>
      <x:c r="K43" s="43" t="str"/>
      <x:c r="L43" s="43" t="str"/>
      <x:c r="M43" s="43" t="str"/>
      <x:c r="N43" s="43" t="n">
        <x:f>IF(A43="",0,IF(AND(B43&lt;&gt;"",C43&lt;&gt;"",D43="HumanApprovedForPlanning",E43="AdoptForPlanning",F43&lt;&gt;"",G43="Approve",H43&lt;&gt;"",L43="Approve",M43="Completed"),1,0))</x:f>
        <x:v>0</x:v>
      </x:c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3" t="str"/>
      <x:c r="B44" s="43" t="str"/>
      <x:c r="C44" s="43" t="str"/>
      <x:c r="D44" s="43" t="str"/>
      <x:c r="E44" s="43" t="str"/>
      <x:c r="F44" s="43" t="str"/>
      <x:c r="G44" s="43" t="str"/>
      <x:c r="H44" s="43" t="str"/>
      <x:c r="I44" s="43" t="str"/>
      <x:c r="J44" s="43" t="str"/>
      <x:c r="K44" s="43" t="str"/>
      <x:c r="L44" s="43" t="str"/>
      <x:c r="M44" s="43" t="str"/>
      <x:c r="N44" s="43" t="n">
        <x:f>IF(A44="",0,IF(AND(B44&lt;&gt;"",C44&lt;&gt;"",D44="HumanApprovedForPlanning",E44="AdoptForPlanning",F44&lt;&gt;"",G44="Approve",H44&lt;&gt;"",L44="Approve",M44="Completed"),1,0))</x:f>
        <x:v>0</x:v>
      </x:c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3" t="str"/>
      <x:c r="B45" s="43" t="str"/>
      <x:c r="C45" s="43" t="str"/>
      <x:c r="D45" s="43" t="str"/>
      <x:c r="E45" s="43" t="str"/>
      <x:c r="F45" s="43" t="str"/>
      <x:c r="G45" s="43" t="str"/>
      <x:c r="H45" s="43" t="str"/>
      <x:c r="I45" s="43" t="str"/>
      <x:c r="J45" s="43" t="str"/>
      <x:c r="K45" s="43" t="str"/>
      <x:c r="L45" s="43" t="str"/>
      <x:c r="M45" s="43" t="str"/>
      <x:c r="N45" s="43" t="n">
        <x:f>IF(A45="",0,IF(AND(B45&lt;&gt;"",C45&lt;&gt;"",D45="HumanApprovedForPlanning",E45="AdoptForPlanning",F45&lt;&gt;"",G45="Approve",H45&lt;&gt;"",L45="Approve",M45="Completed"),1,0))</x:f>
        <x:v>0</x:v>
      </x:c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3" t="str"/>
      <x:c r="B46" s="43" t="str"/>
      <x:c r="C46" s="43" t="str"/>
      <x:c r="D46" s="43" t="str"/>
      <x:c r="E46" s="43" t="str"/>
      <x:c r="F46" s="43" t="str"/>
      <x:c r="G46" s="43" t="str"/>
      <x:c r="H46" s="43" t="str"/>
      <x:c r="I46" s="43" t="str"/>
      <x:c r="J46" s="43" t="str"/>
      <x:c r="K46" s="43" t="str"/>
      <x:c r="L46" s="43" t="str"/>
      <x:c r="M46" s="43" t="str"/>
      <x:c r="N46" s="43" t="n">
        <x:f>IF(A46="",0,IF(AND(B46&lt;&gt;"",C46&lt;&gt;"",D46="HumanApprovedForPlanning",E46="AdoptForPlanning",F46&lt;&gt;"",G46="Approve",H46&lt;&gt;"",L46="Approve",M46="Completed"),1,0))</x:f>
        <x:v>0</x:v>
      </x:c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3" t="str"/>
      <x:c r="B47" s="43" t="str"/>
      <x:c r="C47" s="43" t="str"/>
      <x:c r="D47" s="43" t="str"/>
      <x:c r="E47" s="43" t="str"/>
      <x:c r="F47" s="43" t="str"/>
      <x:c r="G47" s="43" t="str"/>
      <x:c r="H47" s="43" t="str"/>
      <x:c r="I47" s="43" t="str"/>
      <x:c r="J47" s="43" t="str"/>
      <x:c r="K47" s="43" t="str"/>
      <x:c r="L47" s="43" t="str"/>
      <x:c r="M47" s="43" t="str"/>
      <x:c r="N47" s="43" t="n">
        <x:f>IF(A47="",0,IF(AND(B47&lt;&gt;"",C47&lt;&gt;"",D47="HumanApprovedForPlanning",E47="AdoptForPlanning",F47&lt;&gt;"",G47="Approve",H47&lt;&gt;"",L47="Approve",M47="Completed"),1,0))</x:f>
        <x:v>0</x:v>
      </x:c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3" t="str"/>
      <x:c r="B48" s="43" t="str"/>
      <x:c r="C48" s="43" t="str"/>
      <x:c r="D48" s="43" t="str"/>
      <x:c r="E48" s="43" t="str"/>
      <x:c r="F48" s="43" t="str"/>
      <x:c r="G48" s="43" t="str"/>
      <x:c r="H48" s="43" t="str"/>
      <x:c r="I48" s="43" t="str"/>
      <x:c r="J48" s="43" t="str"/>
      <x:c r="K48" s="43" t="str"/>
      <x:c r="L48" s="43" t="str"/>
      <x:c r="M48" s="43" t="str"/>
      <x:c r="N48" s="43" t="n">
        <x:f>IF(A48="",0,IF(AND(B48&lt;&gt;"",C48&lt;&gt;"",D48="HumanApprovedForPlanning",E48="AdoptForPlanning",F48&lt;&gt;"",G48="Approve",H48&lt;&gt;"",L48="Approve",M48="Completed"),1,0))</x:f>
        <x:v>0</x:v>
      </x:c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3" t="str"/>
      <x:c r="B49" s="43" t="str"/>
      <x:c r="C49" s="43" t="str"/>
      <x:c r="D49" s="43" t="str"/>
      <x:c r="E49" s="43" t="str"/>
      <x:c r="F49" s="43" t="str"/>
      <x:c r="G49" s="43" t="str"/>
      <x:c r="H49" s="43" t="str"/>
      <x:c r="I49" s="43" t="str"/>
      <x:c r="J49" s="43" t="str"/>
      <x:c r="K49" s="43" t="str"/>
      <x:c r="L49" s="43" t="str"/>
      <x:c r="M49" s="43" t="str"/>
      <x:c r="N49" s="43" t="n">
        <x:f>IF(A49="",0,IF(AND(B49&lt;&gt;"",C49&lt;&gt;"",D49="HumanApprovedForPlanning",E49="AdoptForPlanning",F49&lt;&gt;"",G49="Approve",H49&lt;&gt;"",L49="Approve",M49="Completed"),1,0))</x:f>
        <x:v>0</x:v>
      </x:c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3" t="str"/>
      <x:c r="B50" s="43" t="str"/>
      <x:c r="C50" s="43" t="str"/>
      <x:c r="D50" s="43" t="str"/>
      <x:c r="E50" s="43" t="str"/>
      <x:c r="F50" s="43" t="str"/>
      <x:c r="G50" s="43" t="str"/>
      <x:c r="H50" s="43" t="str"/>
      <x:c r="I50" s="43" t="str"/>
      <x:c r="J50" s="43" t="str"/>
      <x:c r="K50" s="43" t="str"/>
      <x:c r="L50" s="43" t="str"/>
      <x:c r="M50" s="43" t="str"/>
      <x:c r="N50" s="43" t="n">
        <x:f>IF(A50="",0,IF(AND(B50&lt;&gt;"",C50&lt;&gt;"",D50="HumanApprovedForPlanning",E50="AdoptForPlanning",F50&lt;&gt;"",G50="Approve",H50&lt;&gt;"",L50="Approve",M50="Completed"),1,0))</x:f>
        <x:v>0</x:v>
      </x:c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3" t="str"/>
      <x:c r="B51" s="43" t="str"/>
      <x:c r="C51" s="43" t="str"/>
      <x:c r="D51" s="43" t="str"/>
      <x:c r="E51" s="43" t="str"/>
      <x:c r="F51" s="43" t="str"/>
      <x:c r="G51" s="43" t="str"/>
      <x:c r="H51" s="43" t="str"/>
      <x:c r="I51" s="43" t="str"/>
      <x:c r="J51" s="43" t="str"/>
      <x:c r="K51" s="43" t="str"/>
      <x:c r="L51" s="43" t="str"/>
      <x:c r="M51" s="43" t="str"/>
      <x:c r="N51" s="43" t="n">
        <x:f>IF(A51="",0,IF(AND(B51&lt;&gt;"",C51&lt;&gt;"",D51="HumanApprovedForPlanning",E51="AdoptForPlanning",F51&lt;&gt;"",G51="Approve",H51&lt;&gt;"",L51="Approve",M51="Completed"),1,0))</x:f>
        <x:v>0</x:v>
      </x:c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3" t="str"/>
      <x:c r="B52" s="43" t="str"/>
      <x:c r="C52" s="43" t="str"/>
      <x:c r="D52" s="43" t="str"/>
      <x:c r="E52" s="43" t="str"/>
      <x:c r="F52" s="43" t="str"/>
      <x:c r="G52" s="43" t="str"/>
      <x:c r="H52" s="43" t="str"/>
      <x:c r="I52" s="43" t="str"/>
      <x:c r="J52" s="43" t="str"/>
      <x:c r="K52" s="43" t="str"/>
      <x:c r="L52" s="43" t="str"/>
      <x:c r="M52" s="43" t="str"/>
      <x:c r="N52" s="43" t="n">
        <x:f>IF(A52="",0,IF(AND(B52&lt;&gt;"",C52&lt;&gt;"",D52="HumanApprovedForPlanning",E52="AdoptForPlanning",F52&lt;&gt;"",G52="Approve",H52&lt;&gt;"",L52="Approve",M52="Completed"),1,0))</x:f>
        <x:v>0</x:v>
      </x:c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3" t="str"/>
      <x:c r="B53" s="43" t="str"/>
      <x:c r="C53" s="43" t="str"/>
      <x:c r="D53" s="43" t="str"/>
      <x:c r="E53" s="43" t="str"/>
      <x:c r="F53" s="43" t="str"/>
      <x:c r="G53" s="43" t="str"/>
      <x:c r="H53" s="43" t="str"/>
      <x:c r="I53" s="43" t="str"/>
      <x:c r="J53" s="43" t="str"/>
      <x:c r="K53" s="43" t="str"/>
      <x:c r="L53" s="43" t="str"/>
      <x:c r="M53" s="43" t="str"/>
      <x:c r="N53" s="43" t="n">
        <x:f>IF(A53="",0,IF(AND(B53&lt;&gt;"",C53&lt;&gt;"",D53="HumanApprovedForPlanning",E53="AdoptForPlanning",F53&lt;&gt;"",G53="Approve",H53&lt;&gt;"",L53="Approve",M53="Completed"),1,0))</x:f>
        <x:v>0</x:v>
      </x:c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3" t="str"/>
      <x:c r="B54" s="43" t="str"/>
      <x:c r="C54" s="43" t="str"/>
      <x:c r="D54" s="43" t="str"/>
      <x:c r="E54" s="43" t="str"/>
      <x:c r="F54" s="43" t="str"/>
      <x:c r="G54" s="43" t="str"/>
      <x:c r="H54" s="43" t="str"/>
      <x:c r="I54" s="43" t="str"/>
      <x:c r="J54" s="43" t="str"/>
      <x:c r="K54" s="43" t="str"/>
      <x:c r="L54" s="43" t="str"/>
      <x:c r="M54" s="43" t="str"/>
      <x:c r="N54" s="43" t="n">
        <x:f>IF(A54="",0,IF(AND(B54&lt;&gt;"",C54&lt;&gt;"",D54="HumanApprovedForPlanning",E54="AdoptForPlanning",F54&lt;&gt;"",G54="Approve",H54&lt;&gt;"",L54="Approve",M54="Completed"),1,0))</x:f>
        <x:v>0</x:v>
      </x:c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N2"/>
  </x:mergeCells>
  <x:pageMargins left="0.7" right="0.7" top="0.75" bottom="0.75" header="0.3" footer="0.3"/>
  <x:tableParts count="1">
    <x:tablePart xmlns:r="http://schemas.openxmlformats.org/officeDocument/2006/relationships" r:id="R43e15bb007de4fb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4" max="4" width="28" hidden="0" customWidth="1"/>
    <x:col min="5" max="5" width="58" hidden="0" customWidth="1"/>
    <x:col min="6" max="6" width="45" hidden="0" customWidth="1"/>
    <x:col min="7" max="7" width="24" hidden="0" customWidth="1"/>
    <x:col min="8" max="8" width="14" hidden="0" customWidth="1"/>
  </x:cols>
  <x:sheetData>
    <x:row r="1">
      <x:c r="A1" s="40" t="str">
        <x:v>لوحة Intelligence-to-Action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Indicator</x:v>
      </x:c>
      <x:c r="B4" s="50" t="str">
        <x:v>Value</x:v>
      </x:c>
      <x:c r="C4" s="43"/>
      <x:c r="D4" s="50" t="str">
        <x:v>Decision</x:v>
      </x:c>
      <x:c r="E4" s="50" t="str">
        <x:v>Rationale</x:v>
      </x:c>
      <x:c r="F4" s="50" t="str">
        <x:v>Conditions</x:v>
      </x:c>
      <x:c r="G4" s="50" t="str">
        <x:v>Approved By</x:v>
      </x:c>
      <x:c r="H4" s="50" t="str">
        <x:v>Date</x:v>
      </x:c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>
        <x:v>Human-approved recommendations</x:v>
      </x:c>
      <x:c r="B5" s="43" t="n">
        <x:f>COUNTIF(Recommendations!H5:H34,"HumanApprovedForPlanning")</x:f>
        <x:v>0</x:v>
      </x:c>
      <x:c r="C5" s="43"/>
      <x:c r="D5" s="43" t="str">
        <x:v>Continue Human Governance</x:v>
      </x:c>
      <x:c r="E5" s="43"/>
      <x:c r="F5" s="43"/>
      <x:c r="G5" s="43"/>
      <x:c r="H5" s="52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 t="str">
        <x:v>Adopted board decisions</x:v>
      </x:c>
      <x:c r="B6" s="43" t="n">
        <x:f>COUNTIF(Review_Items!F5:F54,"AdoptForPlanning")</x:f>
        <x:v>0</x:v>
      </x:c>
      <x:c r="C6" s="43"/>
      <x:c r="D6" s="43"/>
      <x:c r="E6" s="43"/>
      <x:c r="F6" s="43"/>
      <x:c r="G6" s="43"/>
      <x:c r="H6" s="43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 t="str">
        <x:v>Action plans</x:v>
      </x:c>
      <x:c r="B7" s="43" t="n">
        <x:f>COUNTIF(Action_Plans!A5:A34,"?*")</x:f>
        <x:v>0</x:v>
      </x:c>
      <x:c r="C7" s="43"/>
      <x:c r="D7" s="43"/>
      <x:c r="E7" s="43"/>
      <x:c r="F7" s="43"/>
      <x:c r="G7" s="43"/>
      <x:c r="H7" s="43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 t="str">
        <x:v>Plans in progress</x:v>
      </x:c>
      <x:c r="B8" s="43" t="n">
        <x:f>COUNTIF(Action_Plans!I5:I34,"InProgress")</x:f>
        <x:v>0</x:v>
      </x:c>
      <x:c r="C8" s="43"/>
      <x:c r="D8" s="43"/>
      <x:c r="E8" s="43"/>
      <x:c r="F8" s="43"/>
      <x:c r="G8" s="43"/>
      <x:c r="H8" s="43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 t="str">
        <x:v>Plans completed</x:v>
      </x:c>
      <x:c r="B9" s="43" t="n">
        <x:f>COUNTIF(Action_Plans!I5:I34,"Completed")</x:f>
        <x:v>0</x:v>
      </x:c>
      <x:c r="C9" s="43"/>
      <x:c r="D9" s="43"/>
      <x:c r="E9" s="43"/>
      <x:c r="F9" s="43"/>
      <x:c r="G9" s="43"/>
      <x:c r="H9" s="43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 t="str">
        <x:v>Tasks completed</x:v>
      </x:c>
      <x:c r="B10" s="43" t="n">
        <x:f>COUNTIF(Action_Tasks!F5:F104,"Completed")</x:f>
        <x:v>0</x:v>
      </x:c>
      <x:c r="C10" s="43"/>
      <x:c r="D10" s="43"/>
      <x:c r="E10" s="43"/>
      <x:c r="F10" s="43"/>
      <x:c r="G10" s="43"/>
      <x:c r="H10" s="43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 t="str">
        <x:v>Overdue tasks</x:v>
      </x:c>
      <x:c r="B11" s="43" t="n">
        <x:f>SUM(Action_Tasks!L5:L104)</x:f>
        <x:v>0</x:v>
      </x:c>
      <x:c r="C11" s="43"/>
      <x:c r="D11" s="43"/>
      <x:c r="E11" s="43"/>
      <x:c r="F11" s="43"/>
      <x:c r="G11" s="43"/>
      <x:c r="H11" s="43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 t="str">
        <x:v>Pending conversion requests</x:v>
      </x:c>
      <x:c r="B12" s="43" t="n">
        <x:f>COUNTIF(Conversion_Requests!F5:F54,"Requested")+COUNTIF(Conversion_Requests!F5:F54,"Approved")</x:f>
        <x:v>0</x:v>
      </x:c>
      <x:c r="C12" s="43"/>
      <x:c r="D12" s="43"/>
      <x:c r="E12" s="43"/>
      <x:c r="F12" s="43"/>
      <x:c r="G12" s="43"/>
      <x:c r="H12" s="43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 t="str">
        <x:v>Executed conversions</x:v>
      </x:c>
      <x:c r="B13" s="43" t="n">
        <x:f>COUNTIF(Conversion_Requests!F5:F54,"Executed")</x:f>
        <x:v>0</x:v>
      </x:c>
      <x:c r="C13" s="43"/>
      <x:c r="D13" s="43"/>
      <x:c r="E13" s="43"/>
      <x:c r="F13" s="43"/>
      <x:c r="G13" s="43"/>
      <x:c r="H13" s="43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 t="str">
        <x:v>Guardrail violations</x:v>
      </x:c>
      <x:c r="B14" s="43" t="n">
        <x:f>COUNTIF(Human_Reviews!H5:H54,TRUE)+COUNTIF(Human_Reviews!I5:I54,TRUE)+COUNTIF(Human_Reviews!J5:J54,TRUE)</x:f>
        <x:v>0</x:v>
      </x:c>
      <x:c r="C14" s="43"/>
      <x:c r="D14" s="43"/>
      <x:c r="E14" s="43"/>
      <x:c r="F14" s="43"/>
      <x:c r="G14" s="43"/>
      <x:c r="H14" s="43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 t="str">
        <x:v>Complete trace chains</x:v>
      </x:c>
      <x:c r="B15" s="43" t="n">
        <x:f>SUM(Traceability!N5:N54)</x:f>
        <x:v>0</x:v>
      </x:c>
      <x:c r="C15" s="43"/>
      <x:c r="D15" s="43"/>
      <x:c r="E15" s="43"/>
      <x:c r="F15" s="43"/>
      <x:c r="G15" s="43"/>
      <x:c r="H15" s="43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 t="str">
        <x:v>Action Governance Ready</x:v>
      </x:c>
      <x:c r="B16" s="43" t="str">
        <x:f>IF(AND(B7&gt;0,B11=0,B12=0,B14=0),"YES","NO")</x:f>
        <x:v>NO</x:v>
      </x:c>
      <x:c r="C16" s="43"/>
      <x:c r="D16" s="43"/>
      <x:c r="E16" s="43"/>
      <x:c r="F16" s="43"/>
      <x:c r="G16" s="43"/>
      <x:c r="H16" s="43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 t="str">
        <x:v>Recommended Decision</x:v>
      </x:c>
      <x:c r="B17" s="43" t="str">
        <x:f>IF(B16="YES","Continue Governed Execution","Create and Complete Human-Governed Action Plans")</x:f>
        <x:v>Create and Complete Human-Governed Action Plans</x:v>
      </x:c>
      <x:c r="C17" s="43"/>
      <x:c r="D17" s="43"/>
      <x:c r="E17" s="43"/>
      <x:c r="F17" s="43"/>
      <x:c r="G17" s="43"/>
      <x:c r="H17" s="43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</x:sheetData>
  <x:mergeCells>
    <x:mergeCell ref="A1:H2"/>
  </x:mergeCells>
  <x:conditionalFormatting sqref="B16:B17">
    <x:cfRule type="expression" dxfId="4" priority="1">
      <x:formula>B16="NO"</x:formula>
    </x:cfRule>
    <x:cfRule type="expression" dxfId="5" priority="2">
      <x:formula>B16="YES"</x:formula>
    </x:cfRule>
  </x:conditionalFormatting>
  <x:pageMargins left="0.7" right="0.7" top="0.75" bottom="0.75" header="0.3" footer="0.3"/>
  <x:drawing xmlns:r="http://schemas.openxmlformats.org/officeDocument/2006/relationships" r:id="Rea1e956343944b8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RecommendationStatus</x:v>
      </x:c>
      <x:c r="B1" t="str">
        <x:v>BoardDecision</x:v>
      </x:c>
      <x:c r="C1" t="str">
        <x:v>PlanStatus</x:v>
      </x:c>
      <x:c r="D1" t="str">
        <x:v>TaskStatus</x:v>
      </x:c>
      <x:c r="E1" t="str">
        <x:v>ConversionStatus</x:v>
      </x:c>
      <x:c r="F1" t="str">
        <x:v>TargetType</x:v>
      </x:c>
      <x:c r="G1" t="str">
        <x:v>ReviewDecision</x:v>
      </x:c>
      <x:c r="H1" t="str">
        <x:v>YesNo</x:v>
      </x:c>
    </x:row>
    <x:row r="2">
      <x:c r="A2" t="str">
        <x:v>NeedsHumanReview</x:v>
      </x:c>
      <x:c r="B2" t="str">
        <x:v>AdoptForPlanning</x:v>
      </x:c>
      <x:c r="C2" t="str">
        <x:v>Draft</x:v>
      </x:c>
      <x:c r="D2" t="str">
        <x:v>Open</x:v>
      </x:c>
      <x:c r="E2" t="str">
        <x:v>Requested</x:v>
      </x:c>
      <x:c r="F2" t="str">
        <x:v>Finding</x:v>
      </x:c>
      <x:c r="G2" t="str">
        <x:v>Approve</x:v>
      </x:c>
      <x:c r="H2" t="n">
        <x:v>0</x:v>
      </x:c>
    </x:row>
    <x:row r="3">
      <x:c r="A3" t="str">
        <x:v>HumanApprovedForPlanning</x:v>
      </x:c>
      <x:c r="B3" t="str">
        <x:v>Reject</x:v>
      </x:c>
      <x:c r="C3" t="str">
        <x:v>Submitted</x:v>
      </x:c>
      <x:c r="D3" t="str">
        <x:v>InProgress</x:v>
      </x:c>
      <x:c r="E3" t="str">
        <x:v>Approved</x:v>
      </x:c>
      <x:c r="F3" t="str">
        <x:v>CAPA</x:v>
      </x:c>
      <x:c r="G3" t="str">
        <x:v>Reject</x:v>
      </x:c>
      <x:c r="H3" t="n">
        <x:v>1</x:v>
      </x:c>
    </x:row>
    <x:row r="4">
      <x:c r="A4" t="str">
        <x:v>Rejected</x:v>
      </x:c>
      <x:c r="B4" t="str">
        <x:v>Defer</x:v>
      </x:c>
      <x:c r="C4" t="str">
        <x:v>Approved</x:v>
      </x:c>
      <x:c r="D4" t="str">
        <x:v>Completed</x:v>
      </x:c>
      <x:c r="E4" t="str">
        <x:v>Rejected</x:v>
      </x:c>
      <x:c r="F4" t="str"/>
      <x:c r="G4" t="str">
        <x:v>NeedsRevision</x:v>
      </x:c>
      <x:c r="H4" t="str"/>
    </x:row>
    <x:row r="5">
      <x:c r="A5" t="str">
        <x:v>NeedsRevision</x:v>
      </x:c>
      <x:c r="B5" t="str">
        <x:v>RequestRevision</x:v>
      </x:c>
      <x:c r="C5" t="str">
        <x:v>InProgress</x:v>
      </x:c>
      <x:c r="D5" t="str">
        <x:v>Cancelled</x:v>
      </x:c>
      <x:c r="E5" t="str">
        <x:v>Executed</x:v>
      </x:c>
      <x:c r="F5" t="str"/>
      <x:c r="G5" t="str"/>
      <x:c r="H5" t="str"/>
    </x:row>
    <x:row r="6">
      <x:c r="A6" t="str"/>
      <x:c r="B6" t="str"/>
      <x:c r="C6" t="str">
        <x:v>Completed</x:v>
      </x:c>
      <x:c r="D6" t="str"/>
      <x:c r="E6" t="str"/>
      <x:c r="F6" t="str"/>
      <x:c r="G6" t="str"/>
      <x:c r="H6" t="str"/>
    </x:row>
    <x:row r="7">
      <x:c r="A7" t="str"/>
      <x:c r="B7" t="str"/>
      <x:c r="C7" t="str">
        <x:v>Rejected</x:v>
      </x:c>
      <x:c r="D7" t="str"/>
      <x:c r="E7" t="str"/>
      <x:c r="F7" t="str"/>
      <x:c r="G7" t="str"/>
      <x:c r="H7" t="str"/>
    </x:row>
    <x:row r="8">
      <x:c r="A8" t="str"/>
      <x:c r="B8" t="str"/>
      <x:c r="C8" t="str">
        <x:v>NeedsRevision</x:v>
      </x:c>
      <x:c r="D8" t="str"/>
      <x:c r="E8" t="str"/>
      <x:c r="F8" t="str"/>
      <x:c r="G8" t="str"/>
      <x:c r="H8" t="str"/>
    </x:row>
    <x:row r="9">
      <x:c r="A9" t="str"/>
      <x:c r="B9" t="str"/>
      <x:c r="C9" t="str">
        <x:v>Cancelled</x:v>
      </x:c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</x:sheetData>
  <x:pageMargins left="0.7" right="0.7" top="0.75" bottom="0.75" header="0.3" footer="0.3"/>
</x:worksheet>
</file>