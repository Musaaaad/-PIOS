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bdaa4dcc04428c" /></Relationships>
</file>

<file path=xl/workbook.xml><?xml version="1.0" encoding="utf-8"?>
<x:workbook xmlns:x="http://schemas.openxmlformats.org/spreadsheetml/2006/main">
  <x:sheets>
    <x:sheet xmlns:r="http://schemas.openxmlformats.org/officeDocument/2006/relationships" name="README" sheetId="1" r:id="Ra4c91b55c28b4b7a"/>
    <x:sheet xmlns:r="http://schemas.openxmlformats.org/officeDocument/2006/relationships" name="Risk_Register" sheetId="2" r:id="Re7e23a80a3f24935"/>
    <x:sheet xmlns:r="http://schemas.openxmlformats.org/officeDocument/2006/relationships" name="Signal_Catalog" sheetId="3" r:id="R75c3d452b36f42a9"/>
    <x:sheet xmlns:r="http://schemas.openxmlformats.org/officeDocument/2006/relationships" name="AI_Policy" sheetId="4" r:id="R9d175b4e06cd41e1"/>
    <x:sheet xmlns:r="http://schemas.openxmlformats.org/officeDocument/2006/relationships" name="Recommendations" sheetId="5" r:id="Rdf368c895f1f4eb3"/>
    <x:sheet xmlns:r="http://schemas.openxmlformats.org/officeDocument/2006/relationships" name="Human_Review" sheetId="6" r:id="R196efc9c73124fc1"/>
    <x:sheet xmlns:r="http://schemas.openxmlformats.org/officeDocument/2006/relationships" name="Portfolio_Sites" sheetId="7" r:id="R5cfe8ff958a04c9b"/>
    <x:sheet xmlns:r="http://schemas.openxmlformats.org/officeDocument/2006/relationships" name="Executive_Dashboard" sheetId="8" r:id="R80f3f415d3ac4a29"/>
    <x:sheet xmlns:r="http://schemas.openxmlformats.org/officeDocument/2006/relationships" name="_Lists" sheetId="9" r:id="R656690e9258b478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hh:mm"/>
    <x:numFmt numFmtId="201" formatCode="0%"/>
    <x:numFmt numFmtId="202" formatCode="0.0"/>
    <x:numFmt numFmtId="203" formatCode="yyyy-mm-dd"/>
  </x:numFmts>
  <x:fonts count="4">
    <x:font>
      <x:sz val="11"/>
      <x:name val="Carlito"/>
    </x:font>
    <x:font>
      <x:b/>
      <x:sz val="15"/>
      <x:color rgb="FFFFFFFF"/>
      <x:name val="Carlito"/>
    </x:font>
    <x:font>
      <x:b/>
      <x:sz val="11"/>
      <x:color rgb="FF0B4F6C"/>
      <x:name val="Carlito"/>
    </x:font>
    <x:font>
      <x:b/>
      <x:sz val="11"/>
      <x:color rgb="FF15313F"/>
      <x:name val="Carlito"/>
    </x:font>
  </x:fonts>
  <x:fills count="5">
    <x:fill>
      <x:patternFill patternType="none"/>
    </x:fill>
    <x:fill>
      <x:patternFill patternType="gray125"/>
    </x:fill>
    <x:fill>
      <x:patternFill patternType="solid">
        <x:fgColor rgb="FF0B4F6C"/>
      </x:patternFill>
    </x:fill>
    <x:fill>
      <x:patternFill patternType="solid">
        <x:fgColor rgb="FFEAF5F3"/>
      </x:patternFill>
    </x:fill>
    <x:fill>
      <x:patternFill patternType="solid">
        <x:fgColor rgb="FFD9EAF7"/>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0" xfId="0" applyNumberFormat="1" applyFont="1" applyFill="1" applyBorder="1"/>
    <x:xf numFmtId="203" fontId="0" fillId="0" borderId="1" xfId="0" applyNumberFormat="1" applyFont="1" applyFill="1" applyBorder="1"/>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0" borderId="1" xfId="0" applyNumberFormat="1" applyFont="1" applyFill="1" applyBorder="1" applyAlignment="1">
      <x:alignment vertical="top" wrapText="1"/>
    </x:xf>
  </x:cellXfs>
  <x:cellStyles count="1">
    <x:cellStyle name="Normal" xfId="0"/>
  </x:cellStyles>
  <x:dxfs count="6">
    <x:dxf>
      <x:font>
        <x:b/>
        <x:color rgb="FF991B1B"/>
      </x:font>
      <x:fill>
        <x:patternFill patternType="solid">
          <x:bgColor rgb="FFFECACA"/>
        </x:patternFill>
      </x:fill>
    </x:dxf>
    <x:dxf>
      <x:font>
        <x:b/>
        <x:color rgb="FF9A3412"/>
      </x:font>
      <x:fill>
        <x:patternFill patternType="solid">
          <x:bgColor rgb="FFFFEDD5"/>
        </x:patternFill>
      </x:fill>
    </x:dxf>
    <x:dxf>
      <x:font>
        <x:b/>
        <x:color rgb="FF991B1B"/>
      </x:font>
      <x:fill>
        <x:patternFill patternType="solid">
          <x:bgColor rgb="FFFECACA"/>
        </x:patternFill>
      </x:fill>
    </x:dxf>
    <x:dxf>
      <x:font>
        <x:b/>
        <x:color rgb="FF991B1B"/>
      </x:font>
      <x:fill>
        <x:patternFill patternType="solid">
          <x:bgColor rgb="FFFECACA"/>
        </x:patternFill>
      </x:fill>
    </x:dxf>
    <x:dxf>
      <x:font>
        <x:b/>
        <x:color rgb="FF991B1B"/>
      </x:font>
      <x:fill>
        <x:patternFill patternType="solid">
          <x:bgColor rgb="FFFECACA"/>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0c600dcd934c69" /><Relationship Type="http://schemas.openxmlformats.org/officeDocument/2006/relationships/theme" Target="/xl/theme/theme1.xml" Id="R936402147eba40e3" /><Relationship Type="http://schemas.microsoft.com/office/2022/11/relationships/FeaturePropertyBag" Target="/xl/featurePropertyBag/featurePropertyBag.xml" Id="R56760ba3eaa94441" /><Relationship Type="http://schemas.openxmlformats.org/officeDocument/2006/relationships/sharedStrings" Target="/xl/sharedStrings.xml" Id="R514624cd34ef4087" /><Relationship Type="http://schemas.openxmlformats.org/officeDocument/2006/relationships/worksheet" Target="/xl/worksheets/sheet1.xml" Id="Ra4c91b55c28b4b7a" /><Relationship Type="http://schemas.openxmlformats.org/officeDocument/2006/relationships/worksheet" Target="/xl/worksheets/sheet2.xml" Id="Re7e23a80a3f24935" /><Relationship Type="http://schemas.openxmlformats.org/officeDocument/2006/relationships/worksheet" Target="/xl/worksheets/sheet3.xml" Id="R75c3d452b36f42a9" /><Relationship Type="http://schemas.openxmlformats.org/officeDocument/2006/relationships/worksheet" Target="/xl/worksheets/sheet4.xml" Id="R9d175b4e06cd41e1" /><Relationship Type="http://schemas.openxmlformats.org/officeDocument/2006/relationships/worksheet" Target="/xl/worksheets/sheet5.xml" Id="Rdf368c895f1f4eb3" /><Relationship Type="http://schemas.openxmlformats.org/officeDocument/2006/relationships/worksheet" Target="/xl/worksheets/sheet6.xml" Id="R196efc9c73124fc1" /><Relationship Type="http://schemas.openxmlformats.org/officeDocument/2006/relationships/worksheet" Target="/xl/worksheets/sheet7.xml" Id="R5cfe8ff958a04c9b" /><Relationship Type="http://schemas.openxmlformats.org/officeDocument/2006/relationships/worksheet" Target="/xl/worksheets/sheet8.xml" Id="R80f3f415d3ac4a29" /><Relationship Type="http://schemas.openxmlformats.org/officeDocument/2006/relationships/worksheet" Target="/xl/worksheets/sheet9.xml" Id="R656690e9258b4788" /></Relationships>
</file>

<file path=xl/drawings/_rels/drawing1.xml.rels>&#65279;<?xml version="1.0" encoding="utf-8"?><Relationships xmlns="http://schemas.openxmlformats.org/package/2006/relationships"><Relationship Type="http://schemas.openxmlformats.org/officeDocument/2006/relationships/chart" Target="/xl/drawings/charts/chart1.xml" Id="R25f15fb77b5f430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Risk Bands</a:t>
            </a:r>
          </a:p>
        </c:rich>
      </c:tx>
      <c:overlay val="0"/>
    </c:title>
    <c:autoTitleDeleted val="0"/>
    <c:plotArea>
      <c:layout/>
      <c:barChart>
        <c:barDir val="col"/>
        <c:grouping val="clustered"/>
        <c:varyColors val="0"/>
        <c:ser>
          <c:idx val="0"/>
          <c:order val="0"/>
          <c:tx>
            <c:v>Series 1</c:v>
          </c:tx>
          <c:cat>
            <c:strRef>
              <c:f>'Executive_Dashboard'!$A$6:$A$9</c:f>
              <c:strCache>
                <c:ptCount val="0"/>
              </c:strCache>
            </c:strRef>
          </c:cat>
          <c:val>
            <c:numRef>
              <c:f>'Executive_Dashboard'!$B$6:$B$9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7</xdr:row>
      <xdr:rowOff>0</xdr:rowOff>
    </xdr:from>
    <xdr:to>
      <xdr:col>8</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5f15fb77b5f4300"/>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 name="RiskRegisterTable" displayName="RiskRegisterTable" ref="A4:P270" headerRowCount="1">
  <x:tableColumns count="16">
    <x:tableColumn id="1" name="ME_ID"/>
    <x:tableColumn id="2" name="Standard"/>
    <x:tableColumn id="3" name="ESR"/>
    <x:tableColumn id="4" name="Official Text"/>
    <x:tableColumn id="5" name="Owner Role"/>
    <x:tableColumn id="6" name="Open P0"/>
    <x:tableColumn id="7" name="Open P1"/>
    <x:tableColumn id="8" name="Open P2"/>
    <x:tableColumn id="9" name="Readiness State"/>
    <x:tableColumn id="10" name="Overdue Control"/>
    <x:tableColumn id="11" name="DQ Issue"/>
    <x:tableColumn id="12" name="Risk Score"/>
    <x:tableColumn id="13" name="Risk Band"/>
    <x:tableColumn id="14" name="Human Status"/>
    <x:tableColumn id="15" name="Evidence Reference"/>
    <x:tableColumn id="16" name="Rationale"/>
  </x:tableColumns>
  <x:tableStyleInfo name="TableStyleMedium2" showRowStripes="1"/>
</x:table>
</file>

<file path=xl/tables/table2.xml><?xml version="1.0" encoding="utf-8"?>
<x:table xmlns:x="http://schemas.openxmlformats.org/spreadsheetml/2006/main" id="1" name="RiskSignalCatalog" displayName="RiskSignalCatalog" ref="A4:F14" headerRowCount="1">
  <x:tableColumns count="6">
    <x:tableColumn id="1" name="Signal Code"/>
    <x:tableColumn id="2" name="الوصف"/>
    <x:tableColumn id="3" name="Weight"/>
    <x:tableColumn id="4" name="Type"/>
    <x:tableColumn id="5" name="Data Source"/>
    <x:tableColumn id="6" name="Guardrail"/>
  </x:tableColumns>
  <x:tableStyleInfo name="TableStyleMedium2" showRowStripes="1"/>
</x:table>
</file>

<file path=xl/tables/table3.xml><?xml version="1.0" encoding="utf-8"?>
<x:table xmlns:x="http://schemas.openxmlformats.org/spreadsheetml/2006/main" id="3" name="AiRecommendationsTable" displayName="AiRecommendationsTable" ref="A4:M29" headerRowCount="1">
  <x:tableColumns count="13">
    <x:tableColumn id="1" name="Recommendation ID"/>
    <x:tableColumn id="2" name="Risk Run"/>
    <x:tableColumn id="3" name="ME_ID"/>
    <x:tableColumn id="4" name="Title"/>
    <x:tableColumn id="5" name="Recommendation"/>
    <x:tableColumn id="6" name="Rationale"/>
    <x:tableColumn id="7" name="Confidence"/>
    <x:tableColumn id="8" name="Model ID"/>
    <x:tableColumn id="9" name="Prompt Hash"/>
    <x:tableColumn id="10" name="Guardrail Pass"/>
    <x:tableColumn id="11" name="Status"/>
    <x:tableColumn id="12" name="Created By"/>
    <x:tableColumn id="13" name="Created Date"/>
  </x:tableColumns>
  <x:tableStyleInfo name="TableStyleMedium2" showRowStripes="1"/>
</x:table>
</file>

<file path=xl/tables/table4.xml><?xml version="1.0" encoding="utf-8"?>
<x:table xmlns:x="http://schemas.openxmlformats.org/spreadsheetml/2006/main" id="4" name="HumanReviewTable" displayName="HumanReviewTable" ref="A4:J29" headerRowCount="1">
  <x:tableColumns count="10">
    <x:tableColumn id="1" name="Recommendation ID"/>
    <x:tableColumn id="2" name="ME_ID"/>
    <x:tableColumn id="3" name="Decision"/>
    <x:tableColumn id="4" name="Comment"/>
    <x:tableColumn id="5" name="Reviewer"/>
    <x:tableColumn id="6" name="Reviewed Date"/>
    <x:tableColumn id="7" name="Planning Action Ref"/>
    <x:tableColumn id="8" name="Auto Executed"/>
    <x:tableColumn id="9" name="Compliance Approved"/>
    <x:tableColumn id="10" name="Guardrail Result"/>
  </x:tableColumns>
  <x:tableStyleInfo name="TableStyleMedium2" showRowStripes="1"/>
</x:table>
</file>

<file path=xl/tables/table5.xml><?xml version="1.0" encoding="utf-8"?>
<x:table xmlns:x="http://schemas.openxmlformats.org/spreadsheetml/2006/main" id="5" name="PortfolioSitesTable" displayName="PortfolioSitesTable" ref="A4:L24" headerRowCount="1">
  <x:tableColumns count="12">
    <x:tableColumn id="1" name="Site Code"/>
    <x:tableColumn id="2" name="Site Name"/>
    <x:tableColumn id="3" name="Readiness Score"/>
    <x:tableColumn id="4" name="Average Risk"/>
    <x:tableColumn id="5" name="Open P0"/>
    <x:tableColumn id="6" name="Open P1"/>
    <x:tableColumn id="7" name="ESR Red"/>
    <x:tableColumn id="8" name="DQ Issues"/>
    <x:tableColumn id="9" name="Overdue Controls"/>
    <x:tableColumn id="10" name="Status"/>
    <x:tableColumn id="11" name="Evidence Reference"/>
    <x:tableColumn id="12"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c3dc4820d7f4bb4" /></Relationships>
</file>

<file path=xl/worksheets/_rels/sheet3.xml.rels>&#65279;<?xml version="1.0" encoding="utf-8"?><Relationships xmlns="http://schemas.openxmlformats.org/package/2006/relationships"><Relationship Type="http://schemas.openxmlformats.org/officeDocument/2006/relationships/table" Target="/xl/tables/table2.xml" Id="R1c0f3121eb8c45c7" /></Relationships>
</file>

<file path=xl/worksheets/_rels/sheet5.xml.rels>&#65279;<?xml version="1.0" encoding="utf-8"?><Relationships xmlns="http://schemas.openxmlformats.org/package/2006/relationships"><Relationship Type="http://schemas.openxmlformats.org/officeDocument/2006/relationships/table" Target="/xl/tables/table3.xml" Id="Rc85e92dd2c5a440c" /></Relationships>
</file>

<file path=xl/worksheets/_rels/sheet6.xml.rels>&#65279;<?xml version="1.0" encoding="utf-8"?><Relationships xmlns="http://schemas.openxmlformats.org/package/2006/relationships"><Relationship Type="http://schemas.openxmlformats.org/officeDocument/2006/relationships/table" Target="/xl/tables/table4.xml" Id="R1d3dd49aecf849cd" /></Relationships>
</file>

<file path=xl/worksheets/_rels/sheet7.xml.rels>&#65279;<?xml version="1.0" encoding="utf-8"?><Relationships xmlns="http://schemas.openxmlformats.org/package/2006/relationships"><Relationship Type="http://schemas.openxmlformats.org/officeDocument/2006/relationships/table" Target="/xl/tables/table5.xml" Id="Rdfca9f4b10ae48ad" /></Relationships>
</file>

<file path=xl/worksheets/_rels/sheet8.xml.rels>&#65279;<?xml version="1.0" encoding="utf-8"?><Relationships xmlns="http://schemas.openxmlformats.org/package/2006/relationships"><Relationship Type="http://schemas.openxmlformats.org/officeDocument/2006/relationships/drawing" Target="/xl/drawings/drawing1.xml" Id="R0393aa4cda954172" /></Relationships>
</file>

<file path=xl/worksheets/sheet1.xml><?xml version="1.0" encoding="utf-8"?>
<x:worksheet xmlns:x="http://schemas.openxmlformats.org/spreadsheetml/2006/main">
  <x:sheetFormatPr defaultRowHeight="15"/>
  <x:cols>
    <x:col min="1" max="1" width="25" hidden="0" customWidth="1"/>
    <x:col min="2" max="2" width="86" hidden="0" customWidth="1"/>
  </x:cols>
  <x:sheetData>
    <x:row r="1" ht="18" hidden="0" customHeight="1">
      <x:c r="A1" s="48" t="str">
        <x:v>PIOS - حزمة ذكاء المخاطر وحوكمة الذكاء الاصطناعي</x:v>
      </x:c>
      <x:c r="B1" s="48"/>
      <x:c r="C1" s="48"/>
      <x:c r="D1" s="48"/>
      <x:c r="E1" s="48"/>
      <x:c r="F1" s="48"/>
      <x:c r="G1" s="49"/>
      <x:c r="H1" s="49"/>
      <x:c r="I1" s="49"/>
      <x:c r="J1" s="49"/>
      <x:c r="K1" s="49"/>
      <x:c r="L1" s="49"/>
      <x:c r="M1" s="49"/>
      <x:c r="N1" s="49"/>
      <x:c r="O1" s="49"/>
      <x:c r="P1" s="49"/>
      <x:c r="Q1" s="49"/>
      <x:c r="R1" s="49"/>
      <x:c r="S1" s="49"/>
      <x:c r="T1" s="49"/>
      <x:c r="U1" s="49"/>
      <x:c r="V1" s="49"/>
      <x:c r="W1" s="49"/>
      <x:c r="X1" s="49"/>
      <x:c r="Y1" s="49"/>
      <x:c r="Z1" s="49"/>
    </x:row>
    <x:row r="2" ht="18" hidden="0" customHeight="1">
      <x:c r="A2" s="48"/>
      <x:c r="B2" s="48"/>
      <x:c r="C2" s="48"/>
      <x:c r="D2" s="48"/>
      <x:c r="E2" s="48"/>
      <x:c r="F2" s="48"/>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15" hidden="0" customHeight="1">
      <x:c r="A4" s="50" t="str">
        <x:v>البند</x:v>
      </x:c>
      <x:c r="B4" s="51" t="str">
        <x:v>الوصف</x:v>
      </x:c>
      <x:c r="C4" s="49"/>
      <x:c r="D4" s="49"/>
      <x:c r="E4" s="49"/>
      <x:c r="F4" s="49"/>
      <x:c r="G4" s="49"/>
      <x:c r="H4" s="49"/>
      <x:c r="I4" s="49"/>
      <x:c r="J4" s="49"/>
      <x:c r="K4" s="49"/>
      <x:c r="L4" s="49"/>
      <x:c r="M4" s="49"/>
      <x:c r="N4" s="49"/>
      <x:c r="O4" s="49"/>
      <x:c r="P4" s="49"/>
      <x:c r="Q4" s="49"/>
      <x:c r="R4" s="49"/>
      <x:c r="S4" s="49"/>
      <x:c r="T4" s="49"/>
      <x:c r="U4" s="49"/>
      <x:c r="V4" s="49"/>
      <x:c r="W4" s="49"/>
      <x:c r="X4" s="49"/>
      <x:c r="Y4" s="49"/>
      <x:c r="Z4" s="49"/>
    </x:row>
    <x:row r="5" ht="15" hidden="0" customHeight="1">
      <x:c r="A5" s="50" t="str">
        <x:v>الغرض</x:v>
      </x:c>
      <x:c r="B5" s="51" t="str">
        <x:v>حساب إشارات مخاطر حتمية على 266 عنصرًا، إدارة توصيات غير تنفيذية، مراجعة بشرية، ومحفظة مواقع.</x:v>
      </x:c>
      <x:c r="C5" s="49"/>
      <x:c r="D5" s="49"/>
      <x:c r="E5" s="49"/>
      <x:c r="F5" s="49"/>
      <x:c r="G5" s="49"/>
      <x:c r="H5" s="49"/>
      <x:c r="I5" s="49"/>
      <x:c r="J5" s="49"/>
      <x:c r="K5" s="49"/>
      <x:c r="L5" s="49"/>
      <x:c r="M5" s="49"/>
      <x:c r="N5" s="49"/>
      <x:c r="O5" s="49"/>
      <x:c r="P5" s="49"/>
      <x:c r="Q5" s="49"/>
      <x:c r="R5" s="49"/>
      <x:c r="S5" s="49"/>
      <x:c r="T5" s="49"/>
      <x:c r="U5" s="49"/>
      <x:c r="V5" s="49"/>
      <x:c r="W5" s="49"/>
      <x:c r="X5" s="49"/>
      <x:c r="Y5" s="49"/>
      <x:c r="Z5" s="49"/>
    </x:row>
    <x:row r="6" ht="15" hidden="0" customHeight="1">
      <x:c r="A6" s="50" t="str">
        <x:v>تنبيه</x:v>
      </x:c>
      <x:c r="B6" s="51" t="str">
        <x:v>Risk Score إشارة دعم قرار وليست درجة امتثال أوتنبؤًا سريريًا.</x:v>
      </x:c>
      <x:c r="C6" s="49"/>
      <x:c r="D6" s="49"/>
      <x:c r="E6" s="49"/>
      <x:c r="F6" s="49"/>
      <x:c r="G6" s="49"/>
      <x:c r="H6" s="49"/>
      <x:c r="I6" s="49"/>
      <x:c r="J6" s="49"/>
      <x:c r="K6" s="49"/>
      <x:c r="L6" s="49"/>
      <x:c r="M6" s="49"/>
      <x:c r="N6" s="49"/>
      <x:c r="O6" s="49"/>
      <x:c r="P6" s="49"/>
      <x:c r="Q6" s="49"/>
      <x:c r="R6" s="49"/>
      <x:c r="S6" s="49"/>
      <x:c r="T6" s="49"/>
      <x:c r="U6" s="49"/>
      <x:c r="V6" s="49"/>
      <x:c r="W6" s="49"/>
      <x:c r="X6" s="49"/>
      <x:c r="Y6" s="49"/>
      <x:c r="Z6" s="49"/>
    </x:row>
    <x:row r="7" ht="15" hidden="0" customHeight="1">
      <x:c r="A7" s="50" t="str">
        <x:v>الذكاء الاصطناعي</x:v>
      </x:c>
      <x:c r="B7" s="51" t="str">
        <x:v>يقدم اقتراحات فقط ولا ينفذ أي إجراء تلقائيًا.</x:v>
      </x:c>
      <x:c r="C7" s="49"/>
      <x:c r="D7" s="49"/>
      <x:c r="E7" s="49"/>
      <x:c r="F7" s="49"/>
      <x:c r="G7" s="49"/>
      <x:c r="H7" s="49"/>
      <x:c r="I7" s="49"/>
      <x:c r="J7" s="49"/>
      <x:c r="K7" s="49"/>
      <x:c r="L7" s="49"/>
      <x:c r="M7" s="49"/>
      <x:c r="N7" s="49"/>
      <x:c r="O7" s="49"/>
      <x:c r="P7" s="49"/>
      <x:c r="Q7" s="49"/>
      <x:c r="R7" s="49"/>
      <x:c r="S7" s="49"/>
      <x:c r="T7" s="49"/>
      <x:c r="U7" s="49"/>
      <x:c r="V7" s="49"/>
      <x:c r="W7" s="49"/>
      <x:c r="X7" s="49"/>
      <x:c r="Y7" s="49"/>
      <x:c r="Z7" s="49"/>
    </x:row>
    <x:row r="8" ht="15" hidden="0" customHeight="1">
      <x:c r="A8" s="50" t="str">
        <x:v>قرارات محظورة</x:v>
      </x:c>
      <x:c r="B8" s="51" t="str">
        <x:v>اعتماد الامتثال، اعتماد N/A، توقيع الأدلة، إغلاق CAPA الحرجة، تغيير KPI، ونشر EvidenceReady.</x:v>
      </x:c>
      <x:c r="C8" s="49"/>
      <x:c r="D8" s="49"/>
      <x:c r="E8" s="49"/>
      <x:c r="F8" s="49"/>
      <x:c r="G8" s="49"/>
      <x:c r="H8" s="49"/>
      <x:c r="I8" s="49"/>
      <x:c r="J8" s="49"/>
      <x:c r="K8" s="49"/>
      <x:c r="L8" s="49"/>
      <x:c r="M8" s="49"/>
      <x:c r="N8" s="49"/>
      <x:c r="O8" s="49"/>
      <x:c r="P8" s="49"/>
      <x:c r="Q8" s="49"/>
      <x:c r="R8" s="49"/>
      <x:c r="S8" s="49"/>
      <x:c r="T8" s="49"/>
      <x:c r="U8" s="49"/>
      <x:c r="V8" s="49"/>
      <x:c r="W8" s="49"/>
      <x:c r="X8" s="49"/>
      <x:c r="Y8" s="49"/>
      <x:c r="Z8" s="49"/>
    </x:row>
    <x:row r="9" ht="15" hidden="0" customHeight="1">
      <x:c r="A9" s="50" t="str">
        <x:v>المراجعة البشرية</x:v>
      </x:c>
      <x:c r="B9" s="51" t="str">
        <x:v>إلزامية قبل استخدام أي توصية في التخطيط.</x:v>
      </x:c>
      <x:c r="C9" s="49"/>
      <x:c r="D9" s="49"/>
      <x:c r="E9" s="49"/>
      <x:c r="F9" s="49"/>
      <x:c r="G9" s="49"/>
      <x:c r="H9" s="49"/>
      <x:c r="I9" s="49"/>
      <x:c r="J9" s="49"/>
      <x:c r="K9" s="49"/>
      <x:c r="L9" s="49"/>
      <x:c r="M9" s="49"/>
      <x:c r="N9" s="49"/>
      <x:c r="O9" s="49"/>
      <x:c r="P9" s="49"/>
      <x:c r="Q9" s="49"/>
      <x:c r="R9" s="49"/>
      <x:c r="S9" s="49"/>
      <x:c r="T9" s="49"/>
      <x:c r="U9" s="49"/>
      <x:c r="V9" s="49"/>
      <x:c r="W9" s="49"/>
      <x:c r="X9" s="49"/>
      <x:c r="Y9" s="49"/>
      <x:c r="Z9" s="49"/>
    </x:row>
    <x:row r="10" ht="15" hidden="0" customHeight="1">
      <x:c r="A10" s="50" t="str">
        <x:v>مصدر البيانات</x:v>
      </x:c>
      <x:c r="B10" s="51" t="str">
        <x:v>PIOS Master ME Registry: 266 عنصرًا رسميًا.</x:v>
      </x:c>
      <x:c r="C10" s="49"/>
      <x:c r="D10" s="49"/>
      <x:c r="E10" s="49"/>
      <x:c r="F10" s="49"/>
      <x:c r="G10" s="49"/>
      <x:c r="H10" s="49"/>
      <x:c r="I10" s="49"/>
      <x:c r="J10" s="49"/>
      <x:c r="K10" s="49"/>
      <x:c r="L10" s="49"/>
      <x:c r="M10" s="49"/>
      <x:c r="N10" s="49"/>
      <x:c r="O10" s="49"/>
      <x:c r="P10" s="49"/>
      <x:c r="Q10" s="49"/>
      <x:c r="R10" s="49"/>
      <x:c r="S10" s="49"/>
      <x:c r="T10" s="49"/>
      <x:c r="U10" s="49"/>
      <x:c r="V10" s="49"/>
      <x:c r="W10" s="49"/>
      <x:c r="X10" s="49"/>
      <x:c r="Y10" s="49"/>
      <x:c r="Z10" s="49"/>
    </x:row>
    <x:row r="11" ht="15" hidden="0" customHeight="1">
      <x:c r="A11" s="50" t="str">
        <x:v>طريقة الاستخدام</x:v>
      </x:c>
      <x:c r="B11" s="51" t="str">
        <x:v>حدّث إشارات Risk_Register، راجع Dashboard، سجّل توصية، ثم وثّق القرار في Human_Review.</x:v>
      </x:c>
      <x:c r="C11" s="49"/>
      <x:c r="D11" s="49"/>
      <x:c r="E11" s="49"/>
      <x:c r="F11" s="49"/>
      <x:c r="G11" s="49"/>
      <x:c r="H11" s="49"/>
      <x:c r="I11" s="49"/>
      <x:c r="J11" s="49"/>
      <x:c r="K11" s="49"/>
      <x:c r="L11" s="49"/>
      <x:c r="M11" s="49"/>
      <x:c r="N11" s="49"/>
      <x:c r="O11" s="49"/>
      <x:c r="P11" s="49"/>
      <x:c r="Q11" s="49"/>
      <x:c r="R11" s="49"/>
      <x:c r="S11" s="49"/>
      <x:c r="T11" s="49"/>
      <x:c r="U11" s="49"/>
      <x:c r="V11" s="49"/>
      <x:c r="W11" s="49"/>
      <x:c r="X11" s="49"/>
      <x:c r="Y11" s="49"/>
      <x:c r="Z11" s="49"/>
    </x:row>
    <x:row r="12" ht="15" hidden="0" customHeight="1">
      <x:c r="A12" s="50" t="str">
        <x:v>الإصدار</x:v>
      </x:c>
      <x:c r="B12" s="51" t="str">
        <x:v>v1 - Sprint 9 / Full Stack v1.0</x:v>
      </x:c>
      <x:c r="C12" s="49"/>
      <x:c r="D12" s="49"/>
      <x:c r="E12" s="49"/>
      <x:c r="F12" s="49"/>
      <x:c r="G12" s="49"/>
      <x:c r="H12" s="49"/>
      <x:c r="I12" s="49"/>
      <x:c r="J12" s="49"/>
      <x:c r="K12" s="49"/>
      <x:c r="L12" s="49"/>
      <x:c r="M12" s="49"/>
      <x:c r="N12" s="49"/>
      <x:c r="O12" s="49"/>
      <x:c r="P12" s="49"/>
      <x:c r="Q12" s="49"/>
      <x:c r="R12" s="49"/>
      <x:c r="S12" s="49"/>
      <x:c r="T12" s="49"/>
      <x:c r="U12" s="49"/>
      <x:c r="V12" s="49"/>
      <x:c r="W12" s="49"/>
      <x:c r="X12" s="49"/>
      <x:c r="Y12" s="49"/>
      <x:c r="Z12" s="49"/>
    </x:row>
    <x:row r="13" ht="15" hidden="0" customHeight="1">
      <x:c r="A13" s="50" t="str">
        <x:v>تاريخ الإنشاء</x:v>
      </x:c>
      <x:c r="B13" s="52" t="n">
        <x:v>46235.70694444444</x:v>
      </x:c>
      <x:c r="C13" s="49"/>
      <x:c r="D13" s="49"/>
      <x:c r="E13" s="49"/>
      <x:c r="F13" s="49"/>
      <x:c r="G13" s="49"/>
      <x:c r="H13" s="49"/>
      <x:c r="I13" s="49"/>
      <x:c r="J13" s="49"/>
      <x:c r="K13" s="49"/>
      <x:c r="L13" s="49"/>
      <x:c r="M13" s="49"/>
      <x:c r="N13" s="49"/>
      <x:c r="O13" s="49"/>
      <x:c r="P13" s="49"/>
      <x:c r="Q13" s="49"/>
      <x:c r="R13" s="49"/>
      <x:c r="S13" s="49"/>
      <x:c r="T13" s="49"/>
      <x:c r="U13" s="49"/>
      <x:c r="V13" s="49"/>
      <x:c r="W13" s="49"/>
      <x:c r="X13" s="49"/>
      <x:c r="Y13" s="49"/>
      <x:c r="Z13" s="49"/>
    </x:row>
    <x:row r="14" ht="15" hidden="0" customHeight="1">
      <x:c r="A14" s="50" t="str">
        <x:v>الجاهزية الفعلية</x:v>
      </x:c>
      <x:c r="B14" s="51" t="str">
        <x:v>غير محسومة حتى إدخال البيانات والأدلة المؤسسية الحقيقية.</x:v>
      </x:c>
      <x:c r="C14" s="49"/>
      <x:c r="D14" s="49"/>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49"/>
      <x:c r="B15" s="49"/>
      <x:c r="C15" s="49"/>
      <x:c r="D15" s="49"/>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49"/>
      <x:c r="B16" s="49"/>
      <x:c r="C16" s="49"/>
      <x:c r="D16" s="49"/>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49"/>
      <x:c r="B17" s="49"/>
      <x:c r="C17" s="49"/>
      <x:c r="D17" s="49"/>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49"/>
      <x:c r="B18" s="49"/>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8" hidden="0" customWidth="1"/>
    <x:col min="4" max="4" width="80" hidden="0" customWidth="1"/>
    <x:col min="5" max="5" width="24" hidden="0" customWidth="1"/>
    <x:col min="6" max="6" width="10" hidden="0" customWidth="1"/>
    <x:col min="7" max="7" width="10" hidden="0" customWidth="1"/>
    <x:col min="8" max="8" width="10" hidden="0" customWidth="1"/>
    <x:col min="9" max="9" width="20" hidden="0" customWidth="1"/>
    <x:col min="10" max="10" width="15" hidden="0" customWidth="1"/>
    <x:col min="11" max="11" width="12" hidden="0" customWidth="1"/>
    <x:col min="12" max="12" width="12" hidden="0" customWidth="1"/>
    <x:col min="13" max="13" width="14" hidden="0" customWidth="1"/>
    <x:col min="14" max="14" width="16" hidden="0" customWidth="1"/>
    <x:col min="15" max="15" width="30" hidden="0" customWidth="1"/>
    <x:col min="16" max="16" width="45" hidden="0" customWidth="1"/>
  </x:cols>
  <x:sheetData>
    <x:row r="1">
      <x:c r="A1" s="48" t="str">
        <x:v>سجل المخاطر - 266 عنصر ME</x:v>
      </x:c>
      <x:c r="B1" s="48"/>
      <x:c r="C1" s="48"/>
      <x:c r="D1" s="48"/>
      <x:c r="E1" s="48"/>
      <x:c r="F1" s="48"/>
      <x:c r="G1" s="48"/>
      <x:c r="H1" s="48"/>
      <x:c r="I1" s="48"/>
      <x:c r="J1" s="48"/>
      <x:c r="K1" s="48"/>
      <x:c r="L1" s="48"/>
      <x:c r="M1" s="48"/>
      <x:c r="N1" s="48"/>
      <x:c r="O1" s="48"/>
      <x:c r="P1" s="48"/>
      <x:c r="Q1" s="49"/>
      <x:c r="R1" s="49"/>
      <x:c r="S1" s="49"/>
      <x:c r="T1" s="49"/>
      <x:c r="U1" s="49"/>
      <x:c r="V1" s="49"/>
      <x:c r="W1" s="49"/>
      <x:c r="X1" s="49"/>
      <x:c r="Y1" s="49"/>
      <x:c r="Z1" s="49"/>
    </x:row>
    <x:row r="2">
      <x:c r="A2" s="48"/>
      <x:c r="B2" s="48"/>
      <x:c r="C2" s="48"/>
      <x:c r="D2" s="48"/>
      <x:c r="E2" s="48"/>
      <x:c r="F2" s="48"/>
      <x:c r="G2" s="48"/>
      <x:c r="H2" s="48"/>
      <x:c r="I2" s="48"/>
      <x:c r="J2" s="48"/>
      <x:c r="K2" s="48"/>
      <x:c r="L2" s="48"/>
      <x:c r="M2" s="48"/>
      <x:c r="N2" s="48"/>
      <x:c r="O2" s="48"/>
      <x:c r="P2" s="48"/>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58" t="str">
        <x:v>ME_ID</x:v>
      </x:c>
      <x:c r="B4" s="58" t="str">
        <x:v>Standard</x:v>
      </x:c>
      <x:c r="C4" s="58" t="str">
        <x:v>ESR</x:v>
      </x:c>
      <x:c r="D4" s="58" t="str">
        <x:v>Official Text</x:v>
      </x:c>
      <x:c r="E4" s="58" t="str">
        <x:v>Owner Role</x:v>
      </x:c>
      <x:c r="F4" s="58" t="str">
        <x:v>Open P0</x:v>
      </x:c>
      <x:c r="G4" s="58" t="str">
        <x:v>Open P1</x:v>
      </x:c>
      <x:c r="H4" s="58" t="str">
        <x:v>Open P2</x:v>
      </x:c>
      <x:c r="I4" s="58" t="str">
        <x:v>Readiness State</x:v>
      </x:c>
      <x:c r="J4" s="58" t="str">
        <x:v>Overdue Control</x:v>
      </x:c>
      <x:c r="K4" s="58" t="str">
        <x:v>DQ Issue</x:v>
      </x:c>
      <x:c r="L4" s="58" t="str">
        <x:v>Risk Score</x:v>
      </x:c>
      <x:c r="M4" s="58" t="str">
        <x:v>Risk Band</x:v>
      </x:c>
      <x:c r="N4" s="58" t="str">
        <x:v>Human Status</x:v>
      </x:c>
      <x:c r="O4" s="58" t="str">
        <x:v>Evidence Reference</x:v>
      </x:c>
      <x:c r="P4" s="58" t="str">
        <x:v>Rationale</x:v>
      </x:c>
      <x:c r="Q4" s="49"/>
      <x:c r="R4" s="49"/>
      <x:c r="S4" s="49"/>
      <x:c r="T4" s="49"/>
      <x:c r="U4" s="49"/>
      <x:c r="V4" s="49"/>
      <x:c r="W4" s="49"/>
      <x:c r="X4" s="49"/>
      <x:c r="Y4" s="49"/>
      <x:c r="Z4" s="49"/>
    </x:row>
    <x:row r="5">
      <x:c r="A5" s="51" t="str">
        <x:v>MM.1.1</x:v>
      </x:c>
      <x:c r="B5" s="51" t="str">
        <x:v>MM.1</x:v>
      </x:c>
      <x:c r="C5" s="59" t="b">
        <x:v>0</x:v>
      </x:c>
      <x:c r="D5" s="51" t="str">
        <x:v>The hospital has a multidisciplinary policy and procedure on patient specific information to be readily accessible to all healthcare professionals. The information includes, but is not limited to, the following: MM.1.1.1 Patient’s age and sex. MM.1.1.2 Current medications. MM.1.1.3 Diagnoses, co-morbidities. MM.1.1.4 Laboratory values. MM.1.1.5 Allergies. MM.1.1.6 Body weight and height. MM.1.1.7 Pregnancy and lactation status.</x:v>
      </x:c>
      <x:c r="E5" s="51" t="str"/>
      <x:c r="F5" s="51" t="n">
        <x:v>0</x:v>
      </x:c>
      <x:c r="G5" s="51" t="n">
        <x:v>0</x:v>
      </x:c>
      <x:c r="H5" s="51" t="n">
        <x:v>0</x:v>
      </x:c>
      <x:c r="I5" s="51" t="str">
        <x:v>Missing</x:v>
      </x:c>
      <x:c r="J5" s="51" t="n">
        <x:v>0</x:v>
      </x:c>
      <x:c r="K5" s="51" t="n">
        <x:v>0</x:v>
      </x:c>
      <x:c r="L5" s="51" t="n">
        <x:f>MIN(100,IF(C5,20,0)+F5*45+G5*30+H5*15+IF(I5="CriticalBlocked",30,IF(I5="Blocked",20,IF(I5="Missing",20,IF(I5="Partial",10,0))))+J5*20+K5*10)</x:f>
        <x:v>20</x:v>
      </x:c>
      <x:c r="M5" s="51" t="str">
        <x:f>IF(L5&gt;=75,"Critical",IF(L5&gt;=50,"High",IF(L5&gt;=25,"Moderate","Low")))</x:f>
        <x:v>Low</x:v>
      </x:c>
      <x:c r="N5" s="51" t="str">
        <x:v>Unreviewed</x:v>
      </x:c>
      <x:c r="O5" s="51" t="str"/>
      <x:c r="P5" s="51" t="str"/>
      <x:c r="Q5" s="49"/>
      <x:c r="R5" s="49"/>
      <x:c r="S5" s="49"/>
      <x:c r="T5" s="49"/>
      <x:c r="U5" s="49"/>
      <x:c r="V5" s="49"/>
      <x:c r="W5" s="49"/>
      <x:c r="X5" s="49"/>
      <x:c r="Y5" s="49"/>
      <x:c r="Z5" s="49"/>
    </x:row>
    <x:row r="6">
      <x:c r="A6" s="51" t="str">
        <x:v>MM.1.2</x:v>
      </x:c>
      <x:c r="B6" s="51" t="str">
        <x:v>MM.1</x:v>
      </x:c>
      <x:c r="C6" s="59" t="b">
        <x:v>0</x:v>
      </x:c>
      <x:c r="D6" s="51" t="str">
        <x:v>Except in emergency situations, patient specific information is accessible when needed to all healthcare professionals involved in the medication management system</x:v>
      </x:c>
      <x:c r="E6" s="51" t="str"/>
      <x:c r="F6" s="51" t="n">
        <x:v>0</x:v>
      </x:c>
      <x:c r="G6" s="51" t="n">
        <x:v>0</x:v>
      </x:c>
      <x:c r="H6" s="51" t="n">
        <x:v>0</x:v>
      </x:c>
      <x:c r="I6" s="51" t="str">
        <x:v>Missing</x:v>
      </x:c>
      <x:c r="J6" s="51" t="n">
        <x:v>0</x:v>
      </x:c>
      <x:c r="K6" s="51" t="n">
        <x:v>0</x:v>
      </x:c>
      <x:c r="L6" s="51" t="n">
        <x:f>MIN(100,IF(C6,20,0)+F6*45+G6*30+H6*15+IF(I6="CriticalBlocked",30,IF(I6="Blocked",20,IF(I6="Missing",20,IF(I6="Partial",10,0))))+J6*20+K6*10)</x:f>
        <x:v>20</x:v>
      </x:c>
      <x:c r="M6" s="51" t="str">
        <x:f>IF(L6&gt;=75,"Critical",IF(L6&gt;=50,"High",IF(L6&gt;=25,"Moderate","Low")))</x:f>
        <x:v>Low</x:v>
      </x:c>
      <x:c r="N6" s="51" t="str">
        <x:v>Unreviewed</x:v>
      </x:c>
      <x:c r="O6" s="51" t="str"/>
      <x:c r="P6" s="51" t="str"/>
      <x:c r="Q6" s="49"/>
      <x:c r="R6" s="49"/>
      <x:c r="S6" s="49"/>
      <x:c r="T6" s="49"/>
      <x:c r="U6" s="49"/>
      <x:c r="V6" s="49"/>
      <x:c r="W6" s="49"/>
      <x:c r="X6" s="49"/>
      <x:c r="Y6" s="49"/>
      <x:c r="Z6" s="49"/>
    </x:row>
    <x:row r="7">
      <x:c r="A7" s="51" t="str">
        <x:v>MM.2.1</x:v>
      </x:c>
      <x:c r="B7" s="51" t="str">
        <x:v>MM.2</x:v>
      </x:c>
      <x:c r="C7" s="59" t="b">
        <x:v>0</x:v>
      </x:c>
      <x:c r="D7" s="51" t="str">
        <x:v>The pharmaceutical care department has a clear organizational structure.</x:v>
      </x:c>
      <x:c r="E7" s="51" t="str"/>
      <x:c r="F7" s="51" t="n">
        <x:v>0</x:v>
      </x:c>
      <x:c r="G7" s="51" t="n">
        <x:v>0</x:v>
      </x:c>
      <x:c r="H7" s="51" t="n">
        <x:v>0</x:v>
      </x:c>
      <x:c r="I7" s="51" t="str">
        <x:v>Missing</x:v>
      </x:c>
      <x:c r="J7" s="51" t="n">
        <x:v>0</x:v>
      </x:c>
      <x:c r="K7" s="51" t="n">
        <x:v>0</x:v>
      </x:c>
      <x:c r="L7" s="51" t="n">
        <x:f>MIN(100,IF(C7,20,0)+F7*45+G7*30+H7*15+IF(I7="CriticalBlocked",30,IF(I7="Blocked",20,IF(I7="Missing",20,IF(I7="Partial",10,0))))+J7*20+K7*10)</x:f>
        <x:v>20</x:v>
      </x:c>
      <x:c r="M7" s="51" t="str">
        <x:f>IF(L7&gt;=75,"Critical",IF(L7&gt;=50,"High",IF(L7&gt;=25,"Moderate","Low")))</x:f>
        <x:v>Low</x:v>
      </x:c>
      <x:c r="N7" s="51" t="str">
        <x:v>Unreviewed</x:v>
      </x:c>
      <x:c r="O7" s="51" t="str"/>
      <x:c r="P7" s="51" t="str"/>
      <x:c r="Q7" s="49"/>
      <x:c r="R7" s="49"/>
      <x:c r="S7" s="49"/>
      <x:c r="T7" s="49"/>
      <x:c r="U7" s="49"/>
      <x:c r="V7" s="49"/>
      <x:c r="W7" s="49"/>
      <x:c r="X7" s="49"/>
      <x:c r="Y7" s="49"/>
      <x:c r="Z7" s="49"/>
    </x:row>
    <x:row r="8">
      <x:c r="A8" s="51" t="str">
        <x:v>MM.2.2</x:v>
      </x:c>
      <x:c r="B8" s="51" t="str">
        <x:v>MM.2</x:v>
      </x:c>
      <x:c r="C8" s="59" t="b">
        <x:v>0</x:v>
      </x:c>
      <x:c r="D8" s="51" t="str">
        <x:v>The head of pharmaceutical care is a licensed pharmacist, qualified by education, training, and experience.</x:v>
      </x:c>
      <x:c r="E8" s="51" t="str"/>
      <x:c r="F8" s="51" t="n">
        <x:v>0</x:v>
      </x:c>
      <x:c r="G8" s="51" t="n">
        <x:v>0</x:v>
      </x:c>
      <x:c r="H8" s="51" t="n">
        <x:v>0</x:v>
      </x:c>
      <x:c r="I8" s="51" t="str">
        <x:v>Missing</x:v>
      </x:c>
      <x:c r="J8" s="51" t="n">
        <x:v>0</x:v>
      </x:c>
      <x:c r="K8" s="51" t="n">
        <x:v>0</x:v>
      </x:c>
      <x:c r="L8" s="51" t="n">
        <x:f>MIN(100,IF(C8,20,0)+F8*45+G8*30+H8*15+IF(I8="CriticalBlocked",30,IF(I8="Blocked",20,IF(I8="Missing",20,IF(I8="Partial",10,0))))+J8*20+K8*10)</x:f>
        <x:v>20</x:v>
      </x:c>
      <x:c r="M8" s="51" t="str">
        <x:f>IF(L8&gt;=75,"Critical",IF(L8&gt;=50,"High",IF(L8&gt;=25,"Moderate","Low")))</x:f>
        <x:v>Low</x:v>
      </x:c>
      <x:c r="N8" s="51" t="str">
        <x:v>Unreviewed</x:v>
      </x:c>
      <x:c r="O8" s="51" t="str"/>
      <x:c r="P8" s="51" t="str"/>
      <x:c r="Q8" s="49"/>
      <x:c r="R8" s="49"/>
      <x:c r="S8" s="49"/>
      <x:c r="T8" s="49"/>
      <x:c r="U8" s="49"/>
      <x:c r="V8" s="49"/>
      <x:c r="W8" s="49"/>
      <x:c r="X8" s="49"/>
      <x:c r="Y8" s="49"/>
      <x:c r="Z8" s="49"/>
    </x:row>
    <x:row r="9">
      <x:c r="A9" s="51" t="str">
        <x:v>MM.2.3</x:v>
      </x:c>
      <x:c r="B9" s="51" t="str">
        <x:v>MM.2</x:v>
      </x:c>
      <x:c r="C9" s="59" t="b">
        <x:v>0</x:v>
      </x:c>
      <x:c r="D9" s="51" t="str">
        <x:v>The head of pharmaceutical care has a valid professional registration with the Saudi Commission of Health Specialties and Ministry of Health practice license in Saudi Arabia, as applicable.</x:v>
      </x:c>
      <x:c r="E9" s="51" t="str"/>
      <x:c r="F9" s="51" t="n">
        <x:v>0</x:v>
      </x:c>
      <x:c r="G9" s="51" t="n">
        <x:v>0</x:v>
      </x:c>
      <x:c r="H9" s="51" t="n">
        <x:v>0</x:v>
      </x:c>
      <x:c r="I9" s="51" t="str">
        <x:v>Missing</x:v>
      </x:c>
      <x:c r="J9" s="51" t="n">
        <x:v>0</x:v>
      </x:c>
      <x:c r="K9" s="51" t="n">
        <x:v>0</x:v>
      </x:c>
      <x:c r="L9" s="51" t="n">
        <x:f>MIN(100,IF(C9,20,0)+F9*45+G9*30+H9*15+IF(I9="CriticalBlocked",30,IF(I9="Blocked",20,IF(I9="Missing",20,IF(I9="Partial",10,0))))+J9*20+K9*10)</x:f>
        <x:v>20</x:v>
      </x:c>
      <x:c r="M9" s="51" t="str">
        <x:f>IF(L9&gt;=75,"Critical",IF(L9&gt;=50,"High",IF(L9&gt;=25,"Moderate","Low")))</x:f>
        <x:v>Low</x:v>
      </x:c>
      <x:c r="N9" s="51" t="str">
        <x:v>Unreviewed</x:v>
      </x:c>
      <x:c r="O9" s="51" t="str"/>
      <x:c r="P9" s="51" t="str"/>
      <x:c r="Q9" s="49"/>
      <x:c r="R9" s="49"/>
      <x:c r="S9" s="49"/>
      <x:c r="T9" s="49"/>
      <x:c r="U9" s="49"/>
      <x:c r="V9" s="49"/>
      <x:c r="W9" s="49"/>
      <x:c r="X9" s="49"/>
      <x:c r="Y9" s="49"/>
      <x:c r="Z9" s="49"/>
    </x:row>
    <x:row r="10">
      <x:c r="A10" s="51" t="str">
        <x:v>MM.2.4</x:v>
      </x:c>
      <x:c r="B10" s="51" t="str">
        <x:v>MM.2</x:v>
      </x:c>
      <x:c r="C10" s="59" t="b">
        <x:v>0</x:v>
      </x:c>
      <x:c r="D10" s="51" t="str">
        <x:v>The authorities and accountabilities of the head of the pharmaceutical care is clearly delineated in a job description and updated every three years.</x:v>
      </x:c>
      <x:c r="E10" s="51" t="str"/>
      <x:c r="F10" s="51" t="n">
        <x:v>0</x:v>
      </x:c>
      <x:c r="G10" s="51" t="n">
        <x:v>0</x:v>
      </x:c>
      <x:c r="H10" s="51" t="n">
        <x:v>0</x:v>
      </x:c>
      <x:c r="I10" s="51" t="str">
        <x:v>Missing</x:v>
      </x:c>
      <x:c r="J10" s="51" t="n">
        <x:v>0</x:v>
      </x:c>
      <x:c r="K10" s="51" t="n">
        <x:v>0</x:v>
      </x:c>
      <x:c r="L10" s="51" t="n">
        <x:f>MIN(100,IF(C10,20,0)+F10*45+G10*30+H10*15+IF(I10="CriticalBlocked",30,IF(I10="Blocked",20,IF(I10="Missing",20,IF(I10="Partial",10,0))))+J10*20+K10*10)</x:f>
        <x:v>20</x:v>
      </x:c>
      <x:c r="M10" s="51" t="str">
        <x:f>IF(L10&gt;=75,"Critical",IF(L10&gt;=50,"High",IF(L10&gt;=25,"Moderate","Low")))</x:f>
        <x:v>Low</x:v>
      </x:c>
      <x:c r="N10" s="51" t="str">
        <x:v>Unreviewed</x:v>
      </x:c>
      <x:c r="O10" s="51" t="str"/>
      <x:c r="P10" s="51" t="str"/>
      <x:c r="Q10" s="49"/>
      <x:c r="R10" s="49"/>
      <x:c r="S10" s="49"/>
      <x:c r="T10" s="49"/>
      <x:c r="U10" s="49"/>
      <x:c r="V10" s="49"/>
      <x:c r="W10" s="49"/>
      <x:c r="X10" s="49"/>
      <x:c r="Y10" s="49"/>
      <x:c r="Z10" s="49"/>
    </x:row>
    <x:row r="11">
      <x:c r="A11" s="51" t="str">
        <x:v>MM.3.1</x:v>
      </x:c>
      <x:c r="B11" s="51" t="str">
        <x:v>MM.3</x:v>
      </x:c>
      <x:c r="C11" s="59" t="b">
        <x:v>0</x:v>
      </x:c>
      <x:c r="D11" s="51" t="str">
        <x:v>The pharmaceutical care department has adequate number of staff qualified by education, training, and experience.</x:v>
      </x:c>
      <x:c r="E11" s="51" t="str"/>
      <x:c r="F11" s="51" t="n">
        <x:v>0</x:v>
      </x:c>
      <x:c r="G11" s="51" t="n">
        <x:v>0</x:v>
      </x:c>
      <x:c r="H11" s="51" t="n">
        <x:v>0</x:v>
      </x:c>
      <x:c r="I11" s="51" t="str">
        <x:v>Missing</x:v>
      </x:c>
      <x:c r="J11" s="51" t="n">
        <x:v>0</x:v>
      </x:c>
      <x:c r="K11" s="51" t="n">
        <x:v>0</x:v>
      </x:c>
      <x:c r="L11" s="51" t="n">
        <x:f>MIN(100,IF(C11,20,0)+F11*45+G11*30+H11*15+IF(I11="CriticalBlocked",30,IF(I11="Blocked",20,IF(I11="Missing",20,IF(I11="Partial",10,0))))+J11*20+K11*10)</x:f>
        <x:v>20</x:v>
      </x:c>
      <x:c r="M11" s="51" t="str">
        <x:f>IF(L11&gt;=75,"Critical",IF(L11&gt;=50,"High",IF(L11&gt;=25,"Moderate","Low")))</x:f>
        <x:v>Low</x:v>
      </x:c>
      <x:c r="N11" s="51" t="str">
        <x:v>Unreviewed</x:v>
      </x:c>
      <x:c r="O11" s="51" t="str"/>
      <x:c r="P11" s="51" t="str"/>
      <x:c r="Q11" s="49"/>
      <x:c r="R11" s="49"/>
      <x:c r="S11" s="49"/>
      <x:c r="T11" s="49"/>
      <x:c r="U11" s="49"/>
      <x:c r="V11" s="49"/>
      <x:c r="W11" s="49"/>
      <x:c r="X11" s="49"/>
      <x:c r="Y11" s="49"/>
      <x:c r="Z11" s="49"/>
    </x:row>
    <x:row r="12">
      <x:c r="A12" s="51" t="str">
        <x:v>MM.3.2</x:v>
      </x:c>
      <x:c r="B12" s="51" t="str">
        <x:v>MM.3</x:v>
      </x:c>
      <x:c r="C12" s="59" t="b">
        <x:v>0</x:v>
      </x:c>
      <x:c r="D12" s="51" t="str">
        <x:v>There is a current staffing plan based on work load statistics that ensures availability of sufficient staff resources to deliver the service.</x:v>
      </x:c>
      <x:c r="E12" s="51" t="str"/>
      <x:c r="F12" s="51" t="n">
        <x:v>0</x:v>
      </x:c>
      <x:c r="G12" s="51" t="n">
        <x:v>0</x:v>
      </x:c>
      <x:c r="H12" s="51" t="n">
        <x:v>0</x:v>
      </x:c>
      <x:c r="I12" s="51" t="str">
        <x:v>Missing</x:v>
      </x:c>
      <x:c r="J12" s="51" t="n">
        <x:v>0</x:v>
      </x:c>
      <x:c r="K12" s="51" t="n">
        <x:v>0</x:v>
      </x:c>
      <x:c r="L12" s="51" t="n">
        <x:f>MIN(100,IF(C12,20,0)+F12*45+G12*30+H12*15+IF(I12="CriticalBlocked",30,IF(I12="Blocked",20,IF(I12="Missing",20,IF(I12="Partial",10,0))))+J12*20+K12*10)</x:f>
        <x:v>20</x:v>
      </x:c>
      <x:c r="M12" s="51" t="str">
        <x:f>IF(L12&gt;=75,"Critical",IF(L12&gt;=50,"High",IF(L12&gt;=25,"Moderate","Low")))</x:f>
        <x:v>Low</x:v>
      </x:c>
      <x:c r="N12" s="51" t="str">
        <x:v>Unreviewed</x:v>
      </x:c>
      <x:c r="O12" s="51" t="str"/>
      <x:c r="P12" s="51" t="str"/>
      <x:c r="Q12" s="49"/>
      <x:c r="R12" s="49"/>
      <x:c r="S12" s="49"/>
      <x:c r="T12" s="49"/>
      <x:c r="U12" s="49"/>
      <x:c r="V12" s="49"/>
      <x:c r="W12" s="49"/>
      <x:c r="X12" s="49"/>
      <x:c r="Y12" s="49"/>
      <x:c r="Z12" s="49"/>
    </x:row>
    <x:row r="13">
      <x:c r="A13" s="51" t="str">
        <x:v>MM.3.3</x:v>
      </x:c>
      <x:c r="B13" s="51" t="str">
        <x:v>MM.3</x:v>
      </x:c>
      <x:c r="C13" s="59" t="b">
        <x:v>0</x:v>
      </x:c>
      <x:c r="D13" s="51" t="str">
        <x:v>The staff responsible for intravenous admixtures, parenteral nutrition, chemotherapy, and drug information services have appropriate training and competency assessment.</x:v>
      </x:c>
      <x:c r="E13" s="51" t="str"/>
      <x:c r="F13" s="51" t="n">
        <x:v>0</x:v>
      </x:c>
      <x:c r="G13" s="51" t="n">
        <x:v>0</x:v>
      </x:c>
      <x:c r="H13" s="51" t="n">
        <x:v>0</x:v>
      </x:c>
      <x:c r="I13" s="51" t="str">
        <x:v>Missing</x:v>
      </x:c>
      <x:c r="J13" s="51" t="n">
        <x:v>0</x:v>
      </x:c>
      <x:c r="K13" s="51" t="n">
        <x:v>0</x:v>
      </x:c>
      <x:c r="L13" s="51" t="n">
        <x:f>MIN(100,IF(C13,20,0)+F13*45+G13*30+H13*15+IF(I13="CriticalBlocked",30,IF(I13="Blocked",20,IF(I13="Missing",20,IF(I13="Partial",10,0))))+J13*20+K13*10)</x:f>
        <x:v>20</x:v>
      </x:c>
      <x:c r="M13" s="51" t="str">
        <x:f>IF(L13&gt;=75,"Critical",IF(L13&gt;=50,"High",IF(L13&gt;=25,"Moderate","Low")))</x:f>
        <x:v>Low</x:v>
      </x:c>
      <x:c r="N13" s="51" t="str">
        <x:v>Unreviewed</x:v>
      </x:c>
      <x:c r="O13" s="51" t="str"/>
      <x:c r="P13" s="51" t="str"/>
      <x:c r="Q13" s="49"/>
      <x:c r="R13" s="49"/>
      <x:c r="S13" s="49"/>
      <x:c r="T13" s="49"/>
      <x:c r="U13" s="49"/>
      <x:c r="V13" s="49"/>
      <x:c r="W13" s="49"/>
      <x:c r="X13" s="49"/>
      <x:c r="Y13" s="49"/>
      <x:c r="Z13" s="49"/>
    </x:row>
    <x:row r="14">
      <x:c r="A14" s="51" t="str">
        <x:v>MM.3.4</x:v>
      </x:c>
      <x:c r="B14" s="51" t="str">
        <x:v>MM.3</x:v>
      </x:c>
      <x:c r="C14" s="59" t="b">
        <x:v>0</x:v>
      </x:c>
      <x:c r="D14" s="51" t="str">
        <x:v>The quality coordinator has appropriate certification/training.</x:v>
      </x:c>
      <x:c r="E14" s="51" t="str"/>
      <x:c r="F14" s="51" t="n">
        <x:v>0</x:v>
      </x:c>
      <x:c r="G14" s="51" t="n">
        <x:v>0</x:v>
      </x:c>
      <x:c r="H14" s="51" t="n">
        <x:v>0</x:v>
      </x:c>
      <x:c r="I14" s="51" t="str">
        <x:v>Missing</x:v>
      </x:c>
      <x:c r="J14" s="51" t="n">
        <x:v>0</x:v>
      </x:c>
      <x:c r="K14" s="51" t="n">
        <x:v>0</x:v>
      </x:c>
      <x:c r="L14" s="51" t="n">
        <x:f>MIN(100,IF(C14,20,0)+F14*45+G14*30+H14*15+IF(I14="CriticalBlocked",30,IF(I14="Blocked",20,IF(I14="Missing",20,IF(I14="Partial",10,0))))+J14*20+K14*10)</x:f>
        <x:v>20</x:v>
      </x:c>
      <x:c r="M14" s="51" t="str">
        <x:f>IF(L14&gt;=75,"Critical",IF(L14&gt;=50,"High",IF(L14&gt;=25,"Moderate","Low")))</x:f>
        <x:v>Low</x:v>
      </x:c>
      <x:c r="N14" s="51" t="str">
        <x:v>Unreviewed</x:v>
      </x:c>
      <x:c r="O14" s="51" t="str"/>
      <x:c r="P14" s="51" t="str"/>
      <x:c r="Q14" s="49"/>
      <x:c r="R14" s="49"/>
      <x:c r="S14" s="49"/>
      <x:c r="T14" s="49"/>
      <x:c r="U14" s="49"/>
      <x:c r="V14" s="49"/>
      <x:c r="W14" s="49"/>
      <x:c r="X14" s="49"/>
      <x:c r="Y14" s="49"/>
      <x:c r="Z14" s="49"/>
    </x:row>
    <x:row r="15">
      <x:c r="A15" s="51" t="str">
        <x:v>MM.3.5</x:v>
      </x:c>
      <x:c r="B15" s="51" t="str">
        <x:v>MM.3</x:v>
      </x:c>
      <x:c r="C15" s="59" t="b">
        <x:v>0</x:v>
      </x:c>
      <x:c r="D15" s="51" t="str">
        <x:v>There is a structured orientation program where new staff are briefed on pharmaceutical care and relevant aspects of the facility to prepare them for their roles and responsibilities</x:v>
      </x:c>
      <x:c r="E15" s="51" t="str"/>
      <x:c r="F15" s="51" t="n">
        <x:v>0</x:v>
      </x:c>
      <x:c r="G15" s="51" t="n">
        <x:v>0</x:v>
      </x:c>
      <x:c r="H15" s="51" t="n">
        <x:v>0</x:v>
      </x:c>
      <x:c r="I15" s="51" t="str">
        <x:v>Missing</x:v>
      </x:c>
      <x:c r="J15" s="51" t="n">
        <x:v>0</x:v>
      </x:c>
      <x:c r="K15" s="51" t="n">
        <x:v>0</x:v>
      </x:c>
      <x:c r="L15" s="51" t="n">
        <x:f>MIN(100,IF(C15,20,0)+F15*45+G15*30+H15*15+IF(I15="CriticalBlocked",30,IF(I15="Blocked",20,IF(I15="Missing",20,IF(I15="Partial",10,0))))+J15*20+K15*10)</x:f>
        <x:v>20</x:v>
      </x:c>
      <x:c r="M15" s="51" t="str">
        <x:f>IF(L15&gt;=75,"Critical",IF(L15&gt;=50,"High",IF(L15&gt;=25,"Moderate","Low")))</x:f>
        <x:v>Low</x:v>
      </x:c>
      <x:c r="N15" s="51" t="str">
        <x:v>Unreviewed</x:v>
      </x:c>
      <x:c r="O15" s="51" t="str"/>
      <x:c r="P15" s="51" t="str"/>
      <x:c r="Q15" s="49"/>
      <x:c r="R15" s="49"/>
      <x:c r="S15" s="49"/>
      <x:c r="T15" s="49"/>
      <x:c r="U15" s="49"/>
      <x:c r="V15" s="49"/>
      <x:c r="W15" s="49"/>
      <x:c r="X15" s="49"/>
      <x:c r="Y15" s="49"/>
      <x:c r="Z15" s="49"/>
    </x:row>
    <x:row r="16">
      <x:c r="A16" s="51" t="str">
        <x:v>MM.3.6</x:v>
      </x:c>
      <x:c r="B16" s="51" t="str">
        <x:v>MM.3</x:v>
      </x:c>
      <x:c r="C16" s="59" t="b">
        <x:v>0</x:v>
      </x:c>
      <x:c r="D16" s="51" t="str">
        <x:v>There is a process to ensure that the new employee's competency is evaluated before allowed to work independently.</x:v>
      </x:c>
      <x:c r="E16" s="51" t="str"/>
      <x:c r="F16" s="51" t="n">
        <x:v>0</x:v>
      </x:c>
      <x:c r="G16" s="51" t="n">
        <x:v>0</x:v>
      </x:c>
      <x:c r="H16" s="51" t="n">
        <x:v>0</x:v>
      </x:c>
      <x:c r="I16" s="51" t="str">
        <x:v>Missing</x:v>
      </x:c>
      <x:c r="J16" s="51" t="n">
        <x:v>0</x:v>
      </x:c>
      <x:c r="K16" s="51" t="n">
        <x:v>0</x:v>
      </x:c>
      <x:c r="L16" s="51" t="n">
        <x:f>MIN(100,IF(C16,20,0)+F16*45+G16*30+H16*15+IF(I16="CriticalBlocked",30,IF(I16="Blocked",20,IF(I16="Missing",20,IF(I16="Partial",10,0))))+J16*20+K16*10)</x:f>
        <x:v>20</x:v>
      </x:c>
      <x:c r="M16" s="51" t="str">
        <x:f>IF(L16&gt;=75,"Critical",IF(L16&gt;=50,"High",IF(L16&gt;=25,"Moderate","Low")))</x:f>
        <x:v>Low</x:v>
      </x:c>
      <x:c r="N16" s="51" t="str">
        <x:v>Unreviewed</x:v>
      </x:c>
      <x:c r="O16" s="51" t="str"/>
      <x:c r="P16" s="51" t="str"/>
      <x:c r="Q16" s="49"/>
      <x:c r="R16" s="49"/>
      <x:c r="S16" s="49"/>
      <x:c r="T16" s="49"/>
      <x:c r="U16" s="49"/>
      <x:c r="V16" s="49"/>
      <x:c r="W16" s="49"/>
      <x:c r="X16" s="49"/>
      <x:c r="Y16" s="49"/>
      <x:c r="Z16" s="49"/>
    </x:row>
    <x:row r="17">
      <x:c r="A17" s="51" t="str">
        <x:v>MM.3.7</x:v>
      </x:c>
      <x:c r="B17" s="51" t="str">
        <x:v>MM.3</x:v>
      </x:c>
      <x:c r="C17" s="59" t="b">
        <x:v>0</x:v>
      </x:c>
      <x:c r="D17" s="51" t="str">
        <x:v>There are continuing professional development activities for all pharmaceutical care staff.</x:v>
      </x:c>
      <x:c r="E17" s="51" t="str"/>
      <x:c r="F17" s="51" t="n">
        <x:v>0</x:v>
      </x:c>
      <x:c r="G17" s="51" t="n">
        <x:v>0</x:v>
      </x:c>
      <x:c r="H17" s="51" t="n">
        <x:v>0</x:v>
      </x:c>
      <x:c r="I17" s="51" t="str">
        <x:v>Missing</x:v>
      </x:c>
      <x:c r="J17" s="51" t="n">
        <x:v>0</x:v>
      </x:c>
      <x:c r="K17" s="51" t="n">
        <x:v>0</x:v>
      </x:c>
      <x:c r="L17" s="51" t="n">
        <x:f>MIN(100,IF(C17,20,0)+F17*45+G17*30+H17*15+IF(I17="CriticalBlocked",30,IF(I17="Blocked",20,IF(I17="Missing",20,IF(I17="Partial",10,0))))+J17*20+K17*10)</x:f>
        <x:v>20</x:v>
      </x:c>
      <x:c r="M17" s="51" t="str">
        <x:f>IF(L17&gt;=75,"Critical",IF(L17&gt;=50,"High",IF(L17&gt;=25,"Moderate","Low")))</x:f>
        <x:v>Low</x:v>
      </x:c>
      <x:c r="N17" s="51" t="str">
        <x:v>Unreviewed</x:v>
      </x:c>
      <x:c r="O17" s="51" t="str"/>
      <x:c r="P17" s="51" t="str"/>
      <x:c r="Q17" s="49"/>
      <x:c r="R17" s="49"/>
      <x:c r="S17" s="49"/>
      <x:c r="T17" s="49"/>
      <x:c r="U17" s="49"/>
      <x:c r="V17" s="49"/>
      <x:c r="W17" s="49"/>
      <x:c r="X17" s="49"/>
      <x:c r="Y17" s="49"/>
      <x:c r="Z17" s="49"/>
    </x:row>
    <x:row r="18">
      <x:c r="A18" s="51" t="str">
        <x:v>MM.4.1</x:v>
      </x:c>
      <x:c r="B18" s="51" t="str">
        <x:v>MM.4</x:v>
      </x:c>
      <x:c r="C18" s="59" t="b">
        <x:v>0</x:v>
      </x:c>
      <x:c r="D18" s="51" t="str">
        <x:v>Organization and management of medications throughout the hospital (procurement, storage, prescribing, preparing and dispensing, administration, and monitoring) are guided by clear multidisciplinary plan or policy.</x:v>
      </x:c>
      <x:c r="E18" s="51" t="str"/>
      <x:c r="F18" s="51" t="n">
        <x:v>0</x:v>
      </x:c>
      <x:c r="G18" s="51" t="n">
        <x:v>0</x:v>
      </x:c>
      <x:c r="H18" s="51" t="n">
        <x:v>0</x:v>
      </x:c>
      <x:c r="I18" s="51" t="str">
        <x:v>Missing</x:v>
      </x:c>
      <x:c r="J18" s="51" t="n">
        <x:v>0</x:v>
      </x:c>
      <x:c r="K18" s="51" t="n">
        <x:v>0</x:v>
      </x:c>
      <x:c r="L18" s="51" t="n">
        <x:f>MIN(100,IF(C18,20,0)+F18*45+G18*30+H18*15+IF(I18="CriticalBlocked",30,IF(I18="Blocked",20,IF(I18="Missing",20,IF(I18="Partial",10,0))))+J18*20+K18*10)</x:f>
        <x:v>20</x:v>
      </x:c>
      <x:c r="M18" s="51" t="str">
        <x:f>IF(L18&gt;=75,"Critical",IF(L18&gt;=50,"High",IF(L18&gt;=25,"Moderate","Low")))</x:f>
        <x:v>Low</x:v>
      </x:c>
      <x:c r="N18" s="51" t="str">
        <x:v>Unreviewed</x:v>
      </x:c>
      <x:c r="O18" s="51" t="str"/>
      <x:c r="P18" s="51" t="str"/>
      <x:c r="Q18" s="49"/>
      <x:c r="R18" s="49"/>
      <x:c r="S18" s="49"/>
      <x:c r="T18" s="49"/>
      <x:c r="U18" s="49"/>
      <x:c r="V18" s="49"/>
      <x:c r="W18" s="49"/>
      <x:c r="X18" s="49"/>
      <x:c r="Y18" s="49"/>
      <x:c r="Z18" s="49"/>
    </x:row>
    <x:row r="19">
      <x:c r="A19" s="51" t="str">
        <x:v>MM.4.2</x:v>
      </x:c>
      <x:c r="B19" s="51" t="str">
        <x:v>MM.4</x:v>
      </x:c>
      <x:c r="C19" s="59" t="b">
        <x:v>0</x:v>
      </x:c>
      <x:c r="D19" s="51" t="str">
        <x:v>Policies and procedures are developed in collaboration with relevant staff, such as medical, nursing, and management staff.</x:v>
      </x:c>
      <x:c r="E19" s="51" t="str"/>
      <x:c r="F19" s="51" t="n">
        <x:v>0</x:v>
      </x:c>
      <x:c r="G19" s="51" t="n">
        <x:v>0</x:v>
      </x:c>
      <x:c r="H19" s="51" t="n">
        <x:v>0</x:v>
      </x:c>
      <x:c r="I19" s="51" t="str">
        <x:v>Missing</x:v>
      </x:c>
      <x:c r="J19" s="51" t="n">
        <x:v>0</x:v>
      </x:c>
      <x:c r="K19" s="51" t="n">
        <x:v>0</x:v>
      </x:c>
      <x:c r="L19" s="51" t="n">
        <x:f>MIN(100,IF(C19,20,0)+F19*45+G19*30+H19*15+IF(I19="CriticalBlocked",30,IF(I19="Blocked",20,IF(I19="Missing",20,IF(I19="Partial",10,0))))+J19*20+K19*10)</x:f>
        <x:v>20</x:v>
      </x:c>
      <x:c r="M19" s="51" t="str">
        <x:f>IF(L19&gt;=75,"Critical",IF(L19&gt;=50,"High",IF(L19&gt;=25,"Moderate","Low")))</x:f>
        <x:v>Low</x:v>
      </x:c>
      <x:c r="N19" s="51" t="str">
        <x:v>Unreviewed</x:v>
      </x:c>
      <x:c r="O19" s="51" t="str"/>
      <x:c r="P19" s="51" t="str"/>
      <x:c r="Q19" s="49"/>
      <x:c r="R19" s="49"/>
      <x:c r="S19" s="49"/>
      <x:c r="T19" s="49"/>
      <x:c r="U19" s="49"/>
      <x:c r="V19" s="49"/>
      <x:c r="W19" s="49"/>
      <x:c r="X19" s="49"/>
      <x:c r="Y19" s="49"/>
      <x:c r="Z19" s="49"/>
    </x:row>
    <x:row r="20">
      <x:c r="A20" s="51" t="str">
        <x:v>MM.4.3</x:v>
      </x:c>
      <x:c r="B20" s="51" t="str">
        <x:v>MM.4</x:v>
      </x:c>
      <x:c r="C20" s="59" t="b">
        <x:v>0</x:v>
      </x:c>
      <x:c r="D20" s="51" t="str">
        <x:v>Updated policies and procedures manual is readily accessible to all healthcare professionals involved in medication use.</x:v>
      </x:c>
      <x:c r="E20" s="51" t="str"/>
      <x:c r="F20" s="51" t="n">
        <x:v>0</x:v>
      </x:c>
      <x:c r="G20" s="51" t="n">
        <x:v>0</x:v>
      </x:c>
      <x:c r="H20" s="51" t="n">
        <x:v>0</x:v>
      </x:c>
      <x:c r="I20" s="51" t="str">
        <x:v>Missing</x:v>
      </x:c>
      <x:c r="J20" s="51" t="n">
        <x:v>0</x:v>
      </x:c>
      <x:c r="K20" s="51" t="n">
        <x:v>0</x:v>
      </x:c>
      <x:c r="L20" s="51" t="n">
        <x:f>MIN(100,IF(C20,20,0)+F20*45+G20*30+H20*15+IF(I20="CriticalBlocked",30,IF(I20="Blocked",20,IF(I20="Missing",20,IF(I20="Partial",10,0))))+J20*20+K20*10)</x:f>
        <x:v>20</x:v>
      </x:c>
      <x:c r="M20" s="51" t="str">
        <x:f>IF(L20&gt;=75,"Critical",IF(L20&gt;=50,"High",IF(L20&gt;=25,"Moderate","Low")))</x:f>
        <x:v>Low</x:v>
      </x:c>
      <x:c r="N20" s="51" t="str">
        <x:v>Unreviewed</x:v>
      </x:c>
      <x:c r="O20" s="51" t="str"/>
      <x:c r="P20" s="51" t="str"/>
      <x:c r="Q20" s="49"/>
      <x:c r="R20" s="49"/>
      <x:c r="S20" s="49"/>
      <x:c r="T20" s="49"/>
      <x:c r="U20" s="49"/>
      <x:c r="V20" s="49"/>
      <x:c r="W20" s="49"/>
      <x:c r="X20" s="49"/>
      <x:c r="Y20" s="49"/>
      <x:c r="Z20" s="49"/>
    </x:row>
    <x:row r="21">
      <x:c r="A21" s="51" t="str">
        <x:v>MM.4.4</x:v>
      </x:c>
      <x:c r="B21" s="51" t="str">
        <x:v>MM.4</x:v>
      </x:c>
      <x:c r="C21" s="59" t="b">
        <x:v>0</x:v>
      </x:c>
      <x:c r="D21" s="51" t="str">
        <x:v>Appropriate sources of drug information are readily available to all healthcare professionals involved in medication use. (e.g., books, manuals, CDs/DVDs, online subscription to drug information resources).</x:v>
      </x:c>
      <x:c r="E21" s="51" t="str"/>
      <x:c r="F21" s="51" t="n">
        <x:v>0</x:v>
      </x:c>
      <x:c r="G21" s="51" t="n">
        <x:v>0</x:v>
      </x:c>
      <x:c r="H21" s="51" t="n">
        <x:v>0</x:v>
      </x:c>
      <x:c r="I21" s="51" t="str">
        <x:v>Missing</x:v>
      </x:c>
      <x:c r="J21" s="51" t="n">
        <x:v>0</x:v>
      </x:c>
      <x:c r="K21" s="51" t="n">
        <x:v>0</x:v>
      </x:c>
      <x:c r="L21" s="51" t="n">
        <x:f>MIN(100,IF(C21,20,0)+F21*45+G21*30+H21*15+IF(I21="CriticalBlocked",30,IF(I21="Blocked",20,IF(I21="Missing",20,IF(I21="Partial",10,0))))+J21*20+K21*10)</x:f>
        <x:v>20</x:v>
      </x:c>
      <x:c r="M21" s="51" t="str">
        <x:f>IF(L21&gt;=75,"Critical",IF(L21&gt;=50,"High",IF(L21&gt;=25,"Moderate","Low")))</x:f>
        <x:v>Low</x:v>
      </x:c>
      <x:c r="N21" s="51" t="str">
        <x:v>Unreviewed</x:v>
      </x:c>
      <x:c r="O21" s="51" t="str"/>
      <x:c r="P21" s="51" t="str"/>
      <x:c r="Q21" s="49"/>
      <x:c r="R21" s="49"/>
      <x:c r="S21" s="49"/>
      <x:c r="T21" s="49"/>
      <x:c r="U21" s="49"/>
      <x:c r="V21" s="49"/>
      <x:c r="W21" s="49"/>
      <x:c r="X21" s="49"/>
      <x:c r="Y21" s="49"/>
      <x:c r="Z21" s="49"/>
    </x:row>
    <x:row r="22">
      <x:c r="A22" s="51" t="str">
        <x:v>MM.4.5</x:v>
      </x:c>
      <x:c r="B22" s="51" t="str">
        <x:v>MM.4</x:v>
      </x:c>
      <x:c r="C22" s="59" t="b">
        <x:v>0</x:v>
      </x:c>
      <x:c r="D22" s="51" t="str">
        <x:v>The pharmaceutical care services are provided twenty four hours a day, seven days a week for inpatients and emergency patients</x:v>
      </x:c>
      <x:c r="E22" s="51" t="str"/>
      <x:c r="F22" s="51" t="n">
        <x:v>0</x:v>
      </x:c>
      <x:c r="G22" s="51" t="n">
        <x:v>0</x:v>
      </x:c>
      <x:c r="H22" s="51" t="n">
        <x:v>0</x:v>
      </x:c>
      <x:c r="I22" s="51" t="str">
        <x:v>Missing</x:v>
      </x:c>
      <x:c r="J22" s="51" t="n">
        <x:v>0</x:v>
      </x:c>
      <x:c r="K22" s="51" t="n">
        <x:v>0</x:v>
      </x:c>
      <x:c r="L22" s="51" t="n">
        <x:f>MIN(100,IF(C22,20,0)+F22*45+G22*30+H22*15+IF(I22="CriticalBlocked",30,IF(I22="Blocked",20,IF(I22="Missing",20,IF(I22="Partial",10,0))))+J22*20+K22*10)</x:f>
        <x:v>20</x:v>
      </x:c>
      <x:c r="M22" s="51" t="str">
        <x:f>IF(L22&gt;=75,"Critical",IF(L22&gt;=50,"High",IF(L22&gt;=25,"Moderate","Low")))</x:f>
        <x:v>Low</x:v>
      </x:c>
      <x:c r="N22" s="51" t="str">
        <x:v>Unreviewed</x:v>
      </x:c>
      <x:c r="O22" s="51" t="str"/>
      <x:c r="P22" s="51" t="str"/>
      <x:c r="Q22" s="49"/>
      <x:c r="R22" s="49"/>
      <x:c r="S22" s="49"/>
      <x:c r="T22" s="49"/>
      <x:c r="U22" s="49"/>
      <x:c r="V22" s="49"/>
      <x:c r="W22" s="49"/>
      <x:c r="X22" s="49"/>
      <x:c r="Y22" s="49"/>
      <x:c r="Z22" s="49"/>
    </x:row>
    <x:row r="23">
      <x:c r="A23" s="51" t="str">
        <x:v>MM.4.6</x:v>
      </x:c>
      <x:c r="B23" s="51" t="str">
        <x:v>MM.4</x:v>
      </x:c>
      <x:c r="C23" s="59" t="b">
        <x:v>0</x:v>
      </x:c>
      <x:c r="D23" s="51" t="str">
        <x:v>There is a pharmacist on-call whenever the inpatient pharmacy is closed.</x:v>
      </x:c>
      <x:c r="E23" s="51" t="str"/>
      <x:c r="F23" s="51" t="n">
        <x:v>0</x:v>
      </x:c>
      <x:c r="G23" s="51" t="n">
        <x:v>0</x:v>
      </x:c>
      <x:c r="H23" s="51" t="n">
        <x:v>0</x:v>
      </x:c>
      <x:c r="I23" s="51" t="str">
        <x:v>Missing</x:v>
      </x:c>
      <x:c r="J23" s="51" t="n">
        <x:v>0</x:v>
      </x:c>
      <x:c r="K23" s="51" t="n">
        <x:v>0</x:v>
      </x:c>
      <x:c r="L23" s="51" t="n">
        <x:f>MIN(100,IF(C23,20,0)+F23*45+G23*30+H23*15+IF(I23="CriticalBlocked",30,IF(I23="Blocked",20,IF(I23="Missing",20,IF(I23="Partial",10,0))))+J23*20+K23*10)</x:f>
        <x:v>20</x:v>
      </x:c>
      <x:c r="M23" s="51" t="str">
        <x:f>IF(L23&gt;=75,"Critical",IF(L23&gt;=50,"High",IF(L23&gt;=25,"Moderate","Low")))</x:f>
        <x:v>Low</x:v>
      </x:c>
      <x:c r="N23" s="51" t="str">
        <x:v>Unreviewed</x:v>
      </x:c>
      <x:c r="O23" s="51" t="str"/>
      <x:c r="P23" s="51" t="str"/>
      <x:c r="Q23" s="49"/>
      <x:c r="R23" s="49"/>
      <x:c r="S23" s="49"/>
      <x:c r="T23" s="49"/>
      <x:c r="U23" s="49"/>
      <x:c r="V23" s="49"/>
      <x:c r="W23" s="49"/>
      <x:c r="X23" s="49"/>
      <x:c r="Y23" s="49"/>
      <x:c r="Z23" s="49"/>
    </x:row>
    <x:row r="24">
      <x:c r="A24" s="51" t="str">
        <x:v>MM.5.1</x:v>
      </x:c>
      <x:c r="B24" s="51" t="str">
        <x:v>MM.5</x:v>
      </x:c>
      <x:c r="C24" s="59" t="b">
        <x:v>1</x:v>
      </x:c>
      <x:c r="D24" s="51" t="str">
        <x:v>There is a written multidisciplinary plan for managing high-alert medications and hazardous pharmaceutical chemicals. It includes identification, location, labeling, storage, dispensing, and administration of high-alert medications.</x:v>
      </x:c>
      <x:c r="E24" s="51" t="str"/>
      <x:c r="F24" s="51" t="n">
        <x:v>0</x:v>
      </x:c>
      <x:c r="G24" s="51" t="n">
        <x:v>0</x:v>
      </x:c>
      <x:c r="H24" s="51" t="n">
        <x:v>0</x:v>
      </x:c>
      <x:c r="I24" s="51" t="str">
        <x:v>Missing</x:v>
      </x:c>
      <x:c r="J24" s="51" t="n">
        <x:v>0</x:v>
      </x:c>
      <x:c r="K24" s="51" t="n">
        <x:v>0</x:v>
      </x:c>
      <x:c r="L24" s="51" t="n">
        <x:f>MIN(100,IF(C24,20,0)+F24*45+G24*30+H24*15+IF(I24="CriticalBlocked",30,IF(I24="Blocked",20,IF(I24="Missing",20,IF(I24="Partial",10,0))))+J24*20+K24*10)</x:f>
        <x:v>40</x:v>
      </x:c>
      <x:c r="M24" s="51" t="str">
        <x:f>IF(L24&gt;=75,"Critical",IF(L24&gt;=50,"High",IF(L24&gt;=25,"Moderate","Low")))</x:f>
        <x:v>Moderate</x:v>
      </x:c>
      <x:c r="N24" s="51" t="str">
        <x:v>Unreviewed</x:v>
      </x:c>
      <x:c r="O24" s="51" t="str"/>
      <x:c r="P24" s="51" t="str"/>
      <x:c r="Q24" s="49"/>
      <x:c r="R24" s="49"/>
      <x:c r="S24" s="49"/>
      <x:c r="T24" s="49"/>
      <x:c r="U24" s="49"/>
      <x:c r="V24" s="49"/>
      <x:c r="W24" s="49"/>
      <x:c r="X24" s="49"/>
      <x:c r="Y24" s="49"/>
      <x:c r="Z24" s="49"/>
    </x:row>
    <x:row r="25">
      <x:c r="A25" s="51" t="str">
        <x:v>MM.5.2</x:v>
      </x:c>
      <x:c r="B25" s="51" t="str">
        <x:v>MM.5</x:v>
      </x:c>
      <x:c r="C25" s="59" t="b">
        <x:v>1</x:v>
      </x:c>
      <x:c r="D25" s="51" t="str">
        <x:v>The hospital identifies an annually updated list of high-alert medications and hazardous pharmaceutical chemicals based on its own data and national and international recognized organizations (e.g., Institute of Safe Medication Practice, World Health Organization). The list contains, but is not limited to, the following: MM.5.2.1 Controlled and narcotics medications. MM.5.2.2 Neuromuscular blockers. MM.5.2.3 Chemotherapeutic agents. MM.5.2.4 Concentrated electrolytes (e.g., hypertonic sodium chloride, concentrated potassium salts). MM.5.2.5 Antithrombotic medications (e.g., heparin, warfarin). MM.5.2.6 Insulins. MM.5.2.7 Anesthetic medications (e.g., propofol, ketamine). MM.5.2.8 Investigational (research) drugs, as applicable. MM.5.2.9 Other medications as identified by the hospital.</x:v>
      </x:c>
      <x:c r="E25" s="51" t="str"/>
      <x:c r="F25" s="51" t="n">
        <x:v>0</x:v>
      </x:c>
      <x:c r="G25" s="51" t="n">
        <x:v>0</x:v>
      </x:c>
      <x:c r="H25" s="51" t="n">
        <x:v>0</x:v>
      </x:c>
      <x:c r="I25" s="51" t="str">
        <x:v>Missing</x:v>
      </x:c>
      <x:c r="J25" s="51" t="n">
        <x:v>0</x:v>
      </x:c>
      <x:c r="K25" s="51" t="n">
        <x:v>0</x:v>
      </x:c>
      <x:c r="L25" s="51" t="n">
        <x:f>MIN(100,IF(C25,20,0)+F25*45+G25*30+H25*15+IF(I25="CriticalBlocked",30,IF(I25="Blocked",20,IF(I25="Missing",20,IF(I25="Partial",10,0))))+J25*20+K25*10)</x:f>
        <x:v>40</x:v>
      </x:c>
      <x:c r="M25" s="51" t="str">
        <x:f>IF(L25&gt;=75,"Critical",IF(L25&gt;=50,"High",IF(L25&gt;=25,"Moderate","Low")))</x:f>
        <x:v>Moderate</x:v>
      </x:c>
      <x:c r="N25" s="51" t="str">
        <x:v>Unreviewed</x:v>
      </x:c>
      <x:c r="O25" s="51" t="str"/>
      <x:c r="P25" s="51" t="str"/>
      <x:c r="Q25" s="49"/>
      <x:c r="R25" s="49"/>
      <x:c r="S25" s="49"/>
      <x:c r="T25" s="49"/>
      <x:c r="U25" s="49"/>
      <x:c r="V25" s="49"/>
      <x:c r="W25" s="49"/>
      <x:c r="X25" s="49"/>
      <x:c r="Y25" s="49"/>
      <x:c r="Z25" s="49"/>
    </x:row>
    <x:row r="26">
      <x:c r="A26" s="51" t="str">
        <x:v>MM.5.3</x:v>
      </x:c>
      <x:c r="B26" s="51" t="str">
        <x:v>MM.5</x:v>
      </x:c>
      <x:c r="C26" s="59" t="b">
        <x:v>1</x:v>
      </x:c>
      <x:c r="D26" s="51" t="str">
        <x:v>The hospital plan for managing high-alert medications and hazardous pharmaceutical chemicals is implemented. This includes, but is not limited to, the following: MM.5.3.1 Improving access to information about high-alert medications. MM.5.3.2 Limiting access to high-alert medications. MM.5.3.3 Using auxiliary labels or computerized alerts if available. MM.5.3.4 Standardizing the ordering, transcribing, preparation, dispensing, administration, and monitoring of high-alert medications. MM.5.3.5 Employing independent double checks.</x:v>
      </x:c>
      <x:c r="E26" s="51" t="str"/>
      <x:c r="F26" s="51" t="n">
        <x:v>0</x:v>
      </x:c>
      <x:c r="G26" s="51" t="n">
        <x:v>0</x:v>
      </x:c>
      <x:c r="H26" s="51" t="n">
        <x:v>0</x:v>
      </x:c>
      <x:c r="I26" s="51" t="str">
        <x:v>Missing</x:v>
      </x:c>
      <x:c r="J26" s="51" t="n">
        <x:v>0</x:v>
      </x:c>
      <x:c r="K26" s="51" t="n">
        <x:v>0</x:v>
      </x:c>
      <x:c r="L26" s="51" t="n">
        <x:f>MIN(100,IF(C26,20,0)+F26*45+G26*30+H26*15+IF(I26="CriticalBlocked",30,IF(I26="Blocked",20,IF(I26="Missing",20,IF(I26="Partial",10,0))))+J26*20+K26*10)</x:f>
        <x:v>40</x:v>
      </x:c>
      <x:c r="M26" s="51" t="str">
        <x:f>IF(L26&gt;=75,"Critical",IF(L26&gt;=50,"High",IF(L26&gt;=25,"Moderate","Low")))</x:f>
        <x:v>Moderate</x:v>
      </x:c>
      <x:c r="N26" s="51" t="str">
        <x:v>Unreviewed</x:v>
      </x:c>
      <x:c r="O26" s="51" t="str"/>
      <x:c r="P26" s="51" t="str"/>
      <x:c r="Q26" s="49"/>
      <x:c r="R26" s="49"/>
      <x:c r="S26" s="49"/>
      <x:c r="T26" s="49"/>
      <x:c r="U26" s="49"/>
      <x:c r="V26" s="49"/>
      <x:c r="W26" s="49"/>
      <x:c r="X26" s="49"/>
      <x:c r="Y26" s="49"/>
      <x:c r="Z26" s="49"/>
    </x:row>
    <x:row r="27">
      <x:c r="A27" s="51" t="str">
        <x:v>MM.5.4</x:v>
      </x:c>
      <x:c r="B27" s="51" t="str">
        <x:v>MM.5</x:v>
      </x:c>
      <x:c r="C27" s="59" t="b">
        <x:v>1</x:v>
      </x:c>
      <x:c r="D27" s="51" t="str">
        <x:v>The hospital develops and implements standard concentrations for all medications administered by intravenous infusion.</x:v>
      </x:c>
      <x:c r="E27" s="51" t="str"/>
      <x:c r="F27" s="51" t="n">
        <x:v>0</x:v>
      </x:c>
      <x:c r="G27" s="51" t="n">
        <x:v>0</x:v>
      </x:c>
      <x:c r="H27" s="51" t="n">
        <x:v>0</x:v>
      </x:c>
      <x:c r="I27" s="51" t="str">
        <x:v>Missing</x:v>
      </x:c>
      <x:c r="J27" s="51" t="n">
        <x:v>0</x:v>
      </x:c>
      <x:c r="K27" s="51" t="n">
        <x:v>0</x:v>
      </x:c>
      <x:c r="L27" s="51" t="n">
        <x:f>MIN(100,IF(C27,20,0)+F27*45+G27*30+H27*15+IF(I27="CriticalBlocked",30,IF(I27="Blocked",20,IF(I27="Missing",20,IF(I27="Partial",10,0))))+J27*20+K27*10)</x:f>
        <x:v>40</x:v>
      </x:c>
      <x:c r="M27" s="51" t="str">
        <x:f>IF(L27&gt;=75,"Critical",IF(L27&gt;=50,"High",IF(L27&gt;=25,"Moderate","Low")))</x:f>
        <x:v>Moderate</x:v>
      </x:c>
      <x:c r="N27" s="51" t="str">
        <x:v>Unreviewed</x:v>
      </x:c>
      <x:c r="O27" s="51" t="str"/>
      <x:c r="P27" s="51" t="str"/>
      <x:c r="Q27" s="49"/>
      <x:c r="R27" s="49"/>
      <x:c r="S27" s="49"/>
      <x:c r="T27" s="49"/>
      <x:c r="U27" s="49"/>
      <x:c r="V27" s="49"/>
      <x:c r="W27" s="49"/>
      <x:c r="X27" s="49"/>
      <x:c r="Y27" s="49"/>
      <x:c r="Z27" s="49"/>
    </x:row>
    <x:row r="28">
      <x:c r="A28" s="51" t="str">
        <x:v>MM.6.1</x:v>
      </x:c>
      <x:c r="B28" s="51" t="str">
        <x:v>MM.6</x:v>
      </x:c>
      <x:c r="C28" s="59" t="b">
        <x:v>1</x:v>
      </x:c>
      <x:c r="D28" s="51" t="str">
        <x:v>There is a multidisciplinary policy and procedure on handling look-alike/sound-alike (LASA) medications.</x:v>
      </x:c>
      <x:c r="E28" s="51" t="str"/>
      <x:c r="F28" s="51" t="n">
        <x:v>0</x:v>
      </x:c>
      <x:c r="G28" s="51" t="n">
        <x:v>0</x:v>
      </x:c>
      <x:c r="H28" s="51" t="n">
        <x:v>0</x:v>
      </x:c>
      <x:c r="I28" s="51" t="str">
        <x:v>Missing</x:v>
      </x:c>
      <x:c r="J28" s="51" t="n">
        <x:v>0</x:v>
      </x:c>
      <x:c r="K28" s="51" t="n">
        <x:v>0</x:v>
      </x:c>
      <x:c r="L28" s="51" t="n">
        <x:f>MIN(100,IF(C28,20,0)+F28*45+G28*30+H28*15+IF(I28="CriticalBlocked",30,IF(I28="Blocked",20,IF(I28="Missing",20,IF(I28="Partial",10,0))))+J28*20+K28*10)</x:f>
        <x:v>40</x:v>
      </x:c>
      <x:c r="M28" s="51" t="str">
        <x:f>IF(L28&gt;=75,"Critical",IF(L28&gt;=50,"High",IF(L28&gt;=25,"Moderate","Low")))</x:f>
        <x:v>Moderate</x:v>
      </x:c>
      <x:c r="N28" s="51" t="str">
        <x:v>Unreviewed</x:v>
      </x:c>
      <x:c r="O28" s="51" t="str"/>
      <x:c r="P28" s="51" t="str"/>
      <x:c r="Q28" s="49"/>
      <x:c r="R28" s="49"/>
      <x:c r="S28" s="49"/>
      <x:c r="T28" s="49"/>
      <x:c r="U28" s="49"/>
      <x:c r="V28" s="49"/>
      <x:c r="W28" s="49"/>
      <x:c r="X28" s="49"/>
      <x:c r="Y28" s="49"/>
      <x:c r="Z28" s="49"/>
    </x:row>
    <x:row r="29">
      <x:c r="A29" s="51" t="str">
        <x:v>MM.6.2</x:v>
      </x:c>
      <x:c r="B29" s="51" t="str">
        <x:v>MM.6</x:v>
      </x:c>
      <x:c r="C29" s="59" t="b">
        <x:v>1</x:v>
      </x:c>
      <x:c r="D29" s="51" t="str">
        <x:v>The hospital reviews and revises annually its list of confusing drug names, which include LASA medication name pairs that the hospital stores, dispenses, and administers</x:v>
      </x:c>
      <x:c r="E29" s="51" t="str"/>
      <x:c r="F29" s="51" t="n">
        <x:v>0</x:v>
      </x:c>
      <x:c r="G29" s="51" t="n">
        <x:v>0</x:v>
      </x:c>
      <x:c r="H29" s="51" t="n">
        <x:v>0</x:v>
      </x:c>
      <x:c r="I29" s="51" t="str">
        <x:v>Missing</x:v>
      </x:c>
      <x:c r="J29" s="51" t="n">
        <x:v>0</x:v>
      </x:c>
      <x:c r="K29" s="51" t="n">
        <x:v>0</x:v>
      </x:c>
      <x:c r="L29" s="51" t="n">
        <x:f>MIN(100,IF(C29,20,0)+F29*45+G29*30+H29*15+IF(I29="CriticalBlocked",30,IF(I29="Blocked",20,IF(I29="Missing",20,IF(I29="Partial",10,0))))+J29*20+K29*10)</x:f>
        <x:v>40</x:v>
      </x:c>
      <x:c r="M29" s="51" t="str">
        <x:f>IF(L29&gt;=75,"Critical",IF(L29&gt;=50,"High",IF(L29&gt;=25,"Moderate","Low")))</x:f>
        <x:v>Moderate</x:v>
      </x:c>
      <x:c r="N29" s="51" t="str">
        <x:v>Unreviewed</x:v>
      </x:c>
      <x:c r="O29" s="51" t="str"/>
      <x:c r="P29" s="51" t="str"/>
      <x:c r="Q29" s="49"/>
      <x:c r="R29" s="49"/>
      <x:c r="S29" s="49"/>
      <x:c r="T29" s="49"/>
      <x:c r="U29" s="49"/>
      <x:c r="V29" s="49"/>
      <x:c r="W29" s="49"/>
      <x:c r="X29" s="49"/>
      <x:c r="Y29" s="49"/>
      <x:c r="Z29" s="49"/>
    </x:row>
    <x:row r="30">
      <x:c r="A30" s="51" t="str">
        <x:v>MM.6.3</x:v>
      </x:c>
      <x:c r="B30" s="51" t="str">
        <x:v>MM.6</x:v>
      </x:c>
      <x:c r="C30" s="59" t="b">
        <x:v>1</x:v>
      </x:c>
      <x:c r="D30" s="51" t="str">
        <x:v>The hospital takes actions to prevent errors involving LASA medications including the following, as applicable: MM.6.3.1 Providing education on LASA medications to healthcare professionals at orientation and as part of continuing education. MM.6.3.2 Using both the brand and generic names for prescribing LASA medications. MM.6.3.3 Writing the diagnosis/ indication of the LASA medication on the prescription. MM.6.3.4 Changing the appearance of look-alike product package.. MM.6.3.5 Reading carefully the label each time a medication is accessed, and/or prior to administration MM.6.3.6 Minimizing the use of verbal and telephone orders. MM.6.3.7 Checking the purpose/indication of the medication on the prescription prior to dispensing and administering. MM.6.3.8 Placing LASA medications in locations separate from each other or in non- alphabetical order.</x:v>
      </x:c>
      <x:c r="E30" s="51" t="str"/>
      <x:c r="F30" s="51" t="n">
        <x:v>0</x:v>
      </x:c>
      <x:c r="G30" s="51" t="n">
        <x:v>0</x:v>
      </x:c>
      <x:c r="H30" s="51" t="n">
        <x:v>0</x:v>
      </x:c>
      <x:c r="I30" s="51" t="str">
        <x:v>Missing</x:v>
      </x:c>
      <x:c r="J30" s="51" t="n">
        <x:v>0</x:v>
      </x:c>
      <x:c r="K30" s="51" t="n">
        <x:v>0</x:v>
      </x:c>
      <x:c r="L30" s="51" t="n">
        <x:f>MIN(100,IF(C30,20,0)+F30*45+G30*30+H30*15+IF(I30="CriticalBlocked",30,IF(I30="Blocked",20,IF(I30="Missing",20,IF(I30="Partial",10,0))))+J30*20+K30*10)</x:f>
        <x:v>40</x:v>
      </x:c>
      <x:c r="M30" s="51" t="str">
        <x:f>IF(L30&gt;=75,"Critical",IF(L30&gt;=50,"High",IF(L30&gt;=25,"Moderate","Low")))</x:f>
        <x:v>Moderate</x:v>
      </x:c>
      <x:c r="N30" s="51" t="str">
        <x:v>Unreviewed</x:v>
      </x:c>
      <x:c r="O30" s="51" t="str"/>
      <x:c r="P30" s="51" t="str"/>
      <x:c r="Q30" s="49"/>
      <x:c r="R30" s="49"/>
      <x:c r="S30" s="49"/>
      <x:c r="T30" s="49"/>
      <x:c r="U30" s="49"/>
      <x:c r="V30" s="49"/>
      <x:c r="W30" s="49"/>
      <x:c r="X30" s="49"/>
      <x:c r="Y30" s="49"/>
      <x:c r="Z30" s="49"/>
    </x:row>
    <x:row r="31">
      <x:c r="A31" s="51" t="str">
        <x:v>MM.7.1</x:v>
      </x:c>
      <x:c r="B31" s="51" t="str">
        <x:v>MM.7</x:v>
      </x:c>
      <x:c r="C31" s="59" t="b">
        <x:v>0</x:v>
      </x:c>
      <x:c r="D31" s="51" t="str">
        <x:v>There is a pharmacy and therapeutics committee chaired by a senior medical or pharmaceutical care staff member.</x:v>
      </x:c>
      <x:c r="E31" s="51" t="str"/>
      <x:c r="F31" s="51" t="n">
        <x:v>0</x:v>
      </x:c>
      <x:c r="G31" s="51" t="n">
        <x:v>0</x:v>
      </x:c>
      <x:c r="H31" s="51" t="n">
        <x:v>0</x:v>
      </x:c>
      <x:c r="I31" s="51" t="str">
        <x:v>Missing</x:v>
      </x:c>
      <x:c r="J31" s="51" t="n">
        <x:v>0</x:v>
      </x:c>
      <x:c r="K31" s="51" t="n">
        <x:v>0</x:v>
      </x:c>
      <x:c r="L31" s="51" t="n">
        <x:f>MIN(100,IF(C31,20,0)+F31*45+G31*30+H31*15+IF(I31="CriticalBlocked",30,IF(I31="Blocked",20,IF(I31="Missing",20,IF(I31="Partial",10,0))))+J31*20+K31*10)</x:f>
        <x:v>20</x:v>
      </x:c>
      <x:c r="M31" s="51" t="str">
        <x:f>IF(L31&gt;=75,"Critical",IF(L31&gt;=50,"High",IF(L31&gt;=25,"Moderate","Low")))</x:f>
        <x:v>Low</x:v>
      </x:c>
      <x:c r="N31" s="51" t="str">
        <x:v>Unreviewed</x:v>
      </x:c>
      <x:c r="O31" s="51" t="str"/>
      <x:c r="P31" s="51" t="str"/>
      <x:c r="Q31" s="49"/>
      <x:c r="R31" s="49"/>
      <x:c r="S31" s="49"/>
      <x:c r="T31" s="49"/>
      <x:c r="U31" s="49"/>
      <x:c r="V31" s="49"/>
      <x:c r="W31" s="49"/>
      <x:c r="X31" s="49"/>
      <x:c r="Y31" s="49"/>
      <x:c r="Z31" s="49"/>
    </x:row>
    <x:row r="32">
      <x:c r="A32" s="51" t="str">
        <x:v>MM.7.2</x:v>
      </x:c>
      <x:c r="B32" s="51" t="str">
        <x:v>MM.7</x:v>
      </x:c>
      <x:c r="C32" s="59" t="b">
        <x:v>0</x:v>
      </x:c>
      <x:c r="D32" s="51" t="str">
        <x:v>There are terms of reference for the pharmacy and therapeutics committee that include committee’s functions, membership, quorum, frequency of meetings, approval, and distribution of minutes.</x:v>
      </x:c>
      <x:c r="E32" s="51" t="str"/>
      <x:c r="F32" s="51" t="n">
        <x:v>0</x:v>
      </x:c>
      <x:c r="G32" s="51" t="n">
        <x:v>0</x:v>
      </x:c>
      <x:c r="H32" s="51" t="n">
        <x:v>0</x:v>
      </x:c>
      <x:c r="I32" s="51" t="str">
        <x:v>Missing</x:v>
      </x:c>
      <x:c r="J32" s="51" t="n">
        <x:v>0</x:v>
      </x:c>
      <x:c r="K32" s="51" t="n">
        <x:v>0</x:v>
      </x:c>
      <x:c r="L32" s="51" t="n">
        <x:f>MIN(100,IF(C32,20,0)+F32*45+G32*30+H32*15+IF(I32="CriticalBlocked",30,IF(I32="Blocked",20,IF(I32="Missing",20,IF(I32="Partial",10,0))))+J32*20+K32*10)</x:f>
        <x:v>20</x:v>
      </x:c>
      <x:c r="M32" s="51" t="str">
        <x:f>IF(L32&gt;=75,"Critical",IF(L32&gt;=50,"High",IF(L32&gt;=25,"Moderate","Low")))</x:f>
        <x:v>Low</x:v>
      </x:c>
      <x:c r="N32" s="51" t="str">
        <x:v>Unreviewed</x:v>
      </x:c>
      <x:c r="O32" s="51" t="str"/>
      <x:c r="P32" s="51" t="str"/>
      <x:c r="Q32" s="49"/>
      <x:c r="R32" s="49"/>
      <x:c r="S32" s="49"/>
      <x:c r="T32" s="49"/>
      <x:c r="U32" s="49"/>
      <x:c r="V32" s="49"/>
      <x:c r="W32" s="49"/>
      <x:c r="X32" s="49"/>
      <x:c r="Y32" s="49"/>
      <x:c r="Z32" s="49"/>
    </x:row>
    <x:row r="33">
      <x:c r="A33" s="51" t="str">
        <x:v>MM.7.3</x:v>
      </x:c>
      <x:c r="B33" s="51" t="str">
        <x:v>MM.7</x:v>
      </x:c>
      <x:c r="C33" s="59" t="b">
        <x:v>0</x:v>
      </x:c>
      <x:c r="D33" s="51" t="str">
        <x:v>The pharmacy and therapeutics committee meets on a regular basis (at least quarterly).</x:v>
      </x:c>
      <x:c r="E33" s="51" t="str"/>
      <x:c r="F33" s="51" t="n">
        <x:v>0</x:v>
      </x:c>
      <x:c r="G33" s="51" t="n">
        <x:v>0</x:v>
      </x:c>
      <x:c r="H33" s="51" t="n">
        <x:v>0</x:v>
      </x:c>
      <x:c r="I33" s="51" t="str">
        <x:v>Missing</x:v>
      </x:c>
      <x:c r="J33" s="51" t="n">
        <x:v>0</x:v>
      </x:c>
      <x:c r="K33" s="51" t="n">
        <x:v>0</x:v>
      </x:c>
      <x:c r="L33" s="51" t="n">
        <x:f>MIN(100,IF(C33,20,0)+F33*45+G33*30+H33*15+IF(I33="CriticalBlocked",30,IF(I33="Blocked",20,IF(I33="Missing",20,IF(I33="Partial",10,0))))+J33*20+K33*10)</x:f>
        <x:v>20</x:v>
      </x:c>
      <x:c r="M33" s="51" t="str">
        <x:f>IF(L33&gt;=75,"Critical",IF(L33&gt;=50,"High",IF(L33&gt;=25,"Moderate","Low")))</x:f>
        <x:v>Low</x:v>
      </x:c>
      <x:c r="N33" s="51" t="str">
        <x:v>Unreviewed</x:v>
      </x:c>
      <x:c r="O33" s="51" t="str"/>
      <x:c r="P33" s="51" t="str"/>
      <x:c r="Q33" s="49"/>
      <x:c r="R33" s="49"/>
      <x:c r="S33" s="49"/>
      <x:c r="T33" s="49"/>
      <x:c r="U33" s="49"/>
      <x:c r="V33" s="49"/>
      <x:c r="W33" s="49"/>
      <x:c r="X33" s="49"/>
      <x:c r="Y33" s="49"/>
      <x:c r="Z33" s="49"/>
    </x:row>
    <x:row r="34">
      <x:c r="A34" s="51" t="str">
        <x:v>MM.7.4</x:v>
      </x:c>
      <x:c r="B34" s="51" t="str">
        <x:v>MM.7</x:v>
      </x:c>
      <x:c r="C34" s="59" t="b">
        <x:v>0</x:v>
      </x:c>
      <x:c r="D34" s="51" t="str">
        <x:v>The meeting minutes of the committee reflects the members in attendance, items discussed, decisions reached, lead accountability assigned for action undertaken and subsequent reporting, as well as follow-up data for these activities.</x:v>
      </x:c>
      <x:c r="E34" s="51" t="str"/>
      <x:c r="F34" s="51" t="n">
        <x:v>0</x:v>
      </x:c>
      <x:c r="G34" s="51" t="n">
        <x:v>0</x:v>
      </x:c>
      <x:c r="H34" s="51" t="n">
        <x:v>0</x:v>
      </x:c>
      <x:c r="I34" s="51" t="str">
        <x:v>Missing</x:v>
      </x:c>
      <x:c r="J34" s="51" t="n">
        <x:v>0</x:v>
      </x:c>
      <x:c r="K34" s="51" t="n">
        <x:v>0</x:v>
      </x:c>
      <x:c r="L34" s="51" t="n">
        <x:f>MIN(100,IF(C34,20,0)+F34*45+G34*30+H34*15+IF(I34="CriticalBlocked",30,IF(I34="Blocked",20,IF(I34="Missing",20,IF(I34="Partial",10,0))))+J34*20+K34*10)</x:f>
        <x:v>20</x:v>
      </x:c>
      <x:c r="M34" s="51" t="str">
        <x:f>IF(L34&gt;=75,"Critical",IF(L34&gt;=50,"High",IF(L34&gt;=25,"Moderate","Low")))</x:f>
        <x:v>Low</x:v>
      </x:c>
      <x:c r="N34" s="51" t="str">
        <x:v>Unreviewed</x:v>
      </x:c>
      <x:c r="O34" s="51" t="str"/>
      <x:c r="P34" s="51" t="str"/>
      <x:c r="Q34" s="49"/>
      <x:c r="R34" s="49"/>
      <x:c r="S34" s="49"/>
      <x:c r="T34" s="49"/>
      <x:c r="U34" s="49"/>
      <x:c r="V34" s="49"/>
      <x:c r="W34" s="49"/>
      <x:c r="X34" s="49"/>
      <x:c r="Y34" s="49"/>
      <x:c r="Z34" s="49"/>
    </x:row>
    <x:row r="35">
      <x:c r="A35" s="51" t="str">
        <x:v>MM.7.5</x:v>
      </x:c>
      <x:c r="B35" s="51" t="str">
        <x:v>MM.7</x:v>
      </x:c>
      <x:c r="C35" s="59" t="b">
        <x:v>0</x:v>
      </x:c>
      <x:c r="D35" s="51" t="str">
        <x:v>Functions of the H C pharmacy and therapeutics committee include, but are not limited to, the following: MM.7.5.1 Serve in an evaluative, educational, and advisory capacity to the medical staff and hospital management in all matters pertaining to the use of medications. MM.7.5.2 Develop and approve criteria for selecting medications that include at least indications, effectiveness, risks (potential for medication errors, abuse potential, and sentinel events), or cost. MM.7.5.3 Develop a formulary of drugs accepted for use in the hospital and provide for its constant revision. MM.7.5.4 Establish programs and procedures that help ensure safe and effective drug therapy. MM.7.5.5 Establish programs and procedures that help ensure cost- effective drug therapy. MM.7.5.6 Establish or plan suitable educational programs for the hospital’s professional staff on matters related to drug use. MM.7.5.7 Participate in quality improvement activities related to distribution, administration, and use of medications. MM.7.5.8 Monitor and evaluate adverse drug events and make appropriate recommendations to prevent their recurrence. MM.7.5.9 Establish evidence- based therapeutic guidelines according to the scope of services of the hospital (e.g., intravenous iron, intravenous immunoglobulin, albumin, heparin, chemo protocols, high EOC alert medications, and electrolyte management guidelines). MM.7.5.10 Initiate and/or direct drug use evaluation programs and studies, review the results of such activities, and make appropriate recommendations to optimize drug use. MM.7.5.11 Advise the pharmaceutical care department in the implementation of effective drug distribution and control procedures.. MM.7.5.12 Disseminate information on its actions and approved recommendations to all staff MM.7.5.13 The committee conducts an annual review of its hospital formulary based on safety and efficacy information (e.g., Saudi FDA warnings, international medication safety alerts, hospital-based adverse drug reaction reports, and drug utilization evaluation studies).</x:v>
      </x:c>
      <x:c r="E35" s="51" t="str"/>
      <x:c r="F35" s="51" t="n">
        <x:v>0</x:v>
      </x:c>
      <x:c r="G35" s="51" t="n">
        <x:v>0</x:v>
      </x:c>
      <x:c r="H35" s="51" t="n">
        <x:v>0</x:v>
      </x:c>
      <x:c r="I35" s="51" t="str">
        <x:v>Missing</x:v>
      </x:c>
      <x:c r="J35" s="51" t="n">
        <x:v>0</x:v>
      </x:c>
      <x:c r="K35" s="51" t="n">
        <x:v>0</x:v>
      </x:c>
      <x:c r="L35" s="51" t="n">
        <x:f>MIN(100,IF(C35,20,0)+F35*45+G35*30+H35*15+IF(I35="CriticalBlocked",30,IF(I35="Blocked",20,IF(I35="Missing",20,IF(I35="Partial",10,0))))+J35*20+K35*10)</x:f>
        <x:v>20</x:v>
      </x:c>
      <x:c r="M35" s="51" t="str">
        <x:f>IF(L35&gt;=75,"Critical",IF(L35&gt;=50,"High",IF(L35&gt;=25,"Moderate","Low")))</x:f>
        <x:v>Low</x:v>
      </x:c>
      <x:c r="N35" s="51" t="str">
        <x:v>Unreviewed</x:v>
      </x:c>
      <x:c r="O35" s="51" t="str"/>
      <x:c r="P35" s="51" t="str"/>
      <x:c r="Q35" s="49"/>
      <x:c r="R35" s="49"/>
      <x:c r="S35" s="49"/>
      <x:c r="T35" s="49"/>
      <x:c r="U35" s="49"/>
      <x:c r="V35" s="49"/>
      <x:c r="W35" s="49"/>
      <x:c r="X35" s="49"/>
      <x:c r="Y35" s="49"/>
      <x:c r="Z35" s="49"/>
    </x:row>
    <x:row r="36">
      <x:c r="A36" s="51" t="str">
        <x:v>MM.8.1</x:v>
      </x:c>
      <x:c r="B36" s="51" t="str">
        <x:v>MM.8</x:v>
      </x:c>
      <x:c r="C36" s="59" t="b">
        <x:v>0</x:v>
      </x:c>
      <x:c r="D36" s="51" t="str">
        <x:v>The hospital has a structured and well organized formulary that is updated annually.</x:v>
      </x:c>
      <x:c r="E36" s="51" t="str"/>
      <x:c r="F36" s="51" t="n">
        <x:v>0</x:v>
      </x:c>
      <x:c r="G36" s="51" t="n">
        <x:v>0</x:v>
      </x:c>
      <x:c r="H36" s="51" t="n">
        <x:v>0</x:v>
      </x:c>
      <x:c r="I36" s="51" t="str">
        <x:v>Missing</x:v>
      </x:c>
      <x:c r="J36" s="51" t="n">
        <x:v>0</x:v>
      </x:c>
      <x:c r="K36" s="51" t="n">
        <x:v>0</x:v>
      </x:c>
      <x:c r="L36" s="51" t="n">
        <x:f>MIN(100,IF(C36,20,0)+F36*45+G36*30+H36*15+IF(I36="CriticalBlocked",30,IF(I36="Blocked",20,IF(I36="Missing",20,IF(I36="Partial",10,0))))+J36*20+K36*10)</x:f>
        <x:v>20</x:v>
      </x:c>
      <x:c r="M36" s="51" t="str">
        <x:f>IF(L36&gt;=75,"Critical",IF(L36&gt;=50,"High",IF(L36&gt;=25,"Moderate","Low")))</x:f>
        <x:v>Low</x:v>
      </x:c>
      <x:c r="N36" s="51" t="str">
        <x:v>Unreviewed</x:v>
      </x:c>
      <x:c r="O36" s="51" t="str"/>
      <x:c r="P36" s="51" t="str"/>
      <x:c r="Q36" s="49"/>
      <x:c r="R36" s="49"/>
      <x:c r="S36" s="49"/>
      <x:c r="T36" s="49"/>
      <x:c r="U36" s="49"/>
      <x:c r="V36" s="49"/>
      <x:c r="W36" s="49"/>
      <x:c r="X36" s="49"/>
      <x:c r="Y36" s="49"/>
      <x:c r="Z36" s="49"/>
    </x:row>
    <x:row r="37">
      <x:c r="A37" s="51" t="str">
        <x:v>MM.8.2</x:v>
      </x:c>
      <x:c r="B37" s="51" t="str">
        <x:v>MM.8</x:v>
      </x:c>
      <x:c r="C37" s="59" t="b">
        <x:v>0</x:v>
      </x:c>
      <x:c r="D37" s="51" t="str">
        <x:v>Healthcare professionals H C involved in prescribing, ordering, dispensing, administering, and patient monitoring processes are involved in developing, evaluating, updating and maintaining the hospital formulary</x:v>
      </x:c>
      <x:c r="E37" s="51" t="str"/>
      <x:c r="F37" s="51" t="n">
        <x:v>0</x:v>
      </x:c>
      <x:c r="G37" s="51" t="n">
        <x:v>0</x:v>
      </x:c>
      <x:c r="H37" s="51" t="n">
        <x:v>0</x:v>
      </x:c>
      <x:c r="I37" s="51" t="str">
        <x:v>Missing</x:v>
      </x:c>
      <x:c r="J37" s="51" t="n">
        <x:v>0</x:v>
      </x:c>
      <x:c r="K37" s="51" t="n">
        <x:v>0</x:v>
      </x:c>
      <x:c r="L37" s="51" t="n">
        <x:f>MIN(100,IF(C37,20,0)+F37*45+G37*30+H37*15+IF(I37="CriticalBlocked",30,IF(I37="Blocked",20,IF(I37="Missing",20,IF(I37="Partial",10,0))))+J37*20+K37*10)</x:f>
        <x:v>20</x:v>
      </x:c>
      <x:c r="M37" s="51" t="str">
        <x:f>IF(L37&gt;=75,"Critical",IF(L37&gt;=50,"High",IF(L37&gt;=25,"Moderate","Low")))</x:f>
        <x:v>Low</x:v>
      </x:c>
      <x:c r="N37" s="51" t="str">
        <x:v>Unreviewed</x:v>
      </x:c>
      <x:c r="O37" s="51" t="str"/>
      <x:c r="P37" s="51" t="str"/>
      <x:c r="Q37" s="49"/>
      <x:c r="R37" s="49"/>
      <x:c r="S37" s="49"/>
      <x:c r="T37" s="49"/>
      <x:c r="U37" s="49"/>
      <x:c r="V37" s="49"/>
      <x:c r="W37" s="49"/>
      <x:c r="X37" s="49"/>
      <x:c r="Y37" s="49"/>
      <x:c r="Z37" s="49"/>
    </x:row>
    <x:row r="38">
      <x:c r="A38" s="51" t="str">
        <x:v>MM.8.3</x:v>
      </x:c>
      <x:c r="B38" s="51" t="str">
        <x:v>MM.8</x:v>
      </x:c>
      <x:c r="C38" s="59" t="b">
        <x:v>0</x:v>
      </x:c>
      <x:c r="D38" s="51" t="str">
        <x:v>The hospital formulary is accessible to all those involved in medication management.</x:v>
      </x:c>
      <x:c r="E38" s="51" t="str"/>
      <x:c r="F38" s="51" t="n">
        <x:v>0</x:v>
      </x:c>
      <x:c r="G38" s="51" t="n">
        <x:v>0</x:v>
      </x:c>
      <x:c r="H38" s="51" t="n">
        <x:v>0</x:v>
      </x:c>
      <x:c r="I38" s="51" t="str">
        <x:v>Missing</x:v>
      </x:c>
      <x:c r="J38" s="51" t="n">
        <x:v>0</x:v>
      </x:c>
      <x:c r="K38" s="51" t="n">
        <x:v>0</x:v>
      </x:c>
      <x:c r="L38" s="51" t="n">
        <x:f>MIN(100,IF(C38,20,0)+F38*45+G38*30+H38*15+IF(I38="CriticalBlocked",30,IF(I38="Blocked",20,IF(I38="Missing",20,IF(I38="Partial",10,0))))+J38*20+K38*10)</x:f>
        <x:v>20</x:v>
      </x:c>
      <x:c r="M38" s="51" t="str">
        <x:f>IF(L38&gt;=75,"Critical",IF(L38&gt;=50,"High",IF(L38&gt;=25,"Moderate","Low")))</x:f>
        <x:v>Low</x:v>
      </x:c>
      <x:c r="N38" s="51" t="str">
        <x:v>Unreviewed</x:v>
      </x:c>
      <x:c r="O38" s="51" t="str"/>
      <x:c r="P38" s="51" t="str"/>
      <x:c r="Q38" s="49"/>
      <x:c r="R38" s="49"/>
      <x:c r="S38" s="49"/>
      <x:c r="T38" s="49"/>
      <x:c r="U38" s="49"/>
      <x:c r="V38" s="49"/>
      <x:c r="W38" s="49"/>
      <x:c r="X38" s="49"/>
      <x:c r="Y38" s="49"/>
      <x:c r="Z38" s="49"/>
    </x:row>
    <x:row r="39">
      <x:c r="A39" s="51" t="str">
        <x:v>MM.8.4</x:v>
      </x:c>
      <x:c r="B39" s="51" t="str">
        <x:v>MM.8</x:v>
      </x:c>
      <x:c r="C39" s="59" t="b">
        <x:v>0</x:v>
      </x:c>
      <x:c r="D39" s="51" t="str">
        <x:v>The hospital formulary is properly indexed (alphabetical index for generics and trade names of drugs), and properly classified using therapeutic classification.</x:v>
      </x:c>
      <x:c r="E39" s="51" t="str"/>
      <x:c r="F39" s="51" t="n">
        <x:v>0</x:v>
      </x:c>
      <x:c r="G39" s="51" t="n">
        <x:v>0</x:v>
      </x:c>
      <x:c r="H39" s="51" t="n">
        <x:v>0</x:v>
      </x:c>
      <x:c r="I39" s="51" t="str">
        <x:v>Missing</x:v>
      </x:c>
      <x:c r="J39" s="51" t="n">
        <x:v>0</x:v>
      </x:c>
      <x:c r="K39" s="51" t="n">
        <x:v>0</x:v>
      </x:c>
      <x:c r="L39" s="51" t="n">
        <x:f>MIN(100,IF(C39,20,0)+F39*45+G39*30+H39*15+IF(I39="CriticalBlocked",30,IF(I39="Blocked",20,IF(I39="Missing",20,IF(I39="Partial",10,0))))+J39*20+K39*10)</x:f>
        <x:v>20</x:v>
      </x:c>
      <x:c r="M39" s="51" t="str">
        <x:f>IF(L39&gt;=75,"Critical",IF(L39&gt;=50,"High",IF(L39&gt;=25,"Moderate","Low")))</x:f>
        <x:v>Low</x:v>
      </x:c>
      <x:c r="N39" s="51" t="str">
        <x:v>Unreviewed</x:v>
      </x:c>
      <x:c r="O39" s="51" t="str"/>
      <x:c r="P39" s="51" t="str"/>
      <x:c r="Q39" s="49"/>
      <x:c r="R39" s="49"/>
      <x:c r="S39" s="49"/>
      <x:c r="T39" s="49"/>
      <x:c r="U39" s="49"/>
      <x:c r="V39" s="49"/>
      <x:c r="W39" s="49"/>
      <x:c r="X39" s="49"/>
      <x:c r="Y39" s="49"/>
      <x:c r="Z39" s="49"/>
    </x:row>
    <x:row r="40">
      <x:c r="A40" s="51" t="str">
        <x:v>MM.8.5</x:v>
      </x:c>
      <x:c r="B40" s="51" t="str">
        <x:v>MM.8</x:v>
      </x:c>
      <x:c r="C40" s="59" t="b">
        <x:v>0</x:v>
      </x:c>
      <x:c r="D40" s="51" t="str">
        <x:v>The hospital formulary includes short drug monographs EOC that illustrate the generic drug name, strength, and dosage form(s), indication(s), adverse drug reactions, and prescribing information.</x:v>
      </x:c>
      <x:c r="E40" s="51" t="str"/>
      <x:c r="F40" s="51" t="n">
        <x:v>0</x:v>
      </x:c>
      <x:c r="G40" s="51" t="n">
        <x:v>0</x:v>
      </x:c>
      <x:c r="H40" s="51" t="n">
        <x:v>0</x:v>
      </x:c>
      <x:c r="I40" s="51" t="str">
        <x:v>Missing</x:v>
      </x:c>
      <x:c r="J40" s="51" t="n">
        <x:v>0</x:v>
      </x:c>
      <x:c r="K40" s="51" t="n">
        <x:v>0</x:v>
      </x:c>
      <x:c r="L40" s="51" t="n">
        <x:f>MIN(100,IF(C40,20,0)+F40*45+G40*30+H40*15+IF(I40="CriticalBlocked",30,IF(I40="Blocked",20,IF(I40="Missing",20,IF(I40="Partial",10,0))))+J40*20+K40*10)</x:f>
        <x:v>20</x:v>
      </x:c>
      <x:c r="M40" s="51" t="str">
        <x:f>IF(L40&gt;=75,"Critical",IF(L40&gt;=50,"High",IF(L40&gt;=25,"Moderate","Low")))</x:f>
        <x:v>Low</x:v>
      </x:c>
      <x:c r="N40" s="51" t="str">
        <x:v>Unreviewed</x:v>
      </x:c>
      <x:c r="O40" s="51" t="str"/>
      <x:c r="P40" s="51" t="str"/>
      <x:c r="Q40" s="49"/>
      <x:c r="R40" s="49"/>
      <x:c r="S40" s="49"/>
      <x:c r="T40" s="49"/>
      <x:c r="U40" s="49"/>
      <x:c r="V40" s="49"/>
      <x:c r="W40" s="49"/>
      <x:c r="X40" s="49"/>
      <x:c r="Y40" s="49"/>
      <x:c r="Z40" s="49"/>
    </x:row>
    <x:row r="41">
      <x:c r="A41" s="51" t="str">
        <x:v>MM.8.6</x:v>
      </x:c>
      <x:c r="B41" s="51" t="str">
        <x:v>MM.8</x:v>
      </x:c>
      <x:c r="C41" s="59" t="b">
        <x:v>0</x:v>
      </x:c>
      <x:c r="D41" s="51" t="str">
        <x:v>The hospital formulary provides guidance on antibiotics use (both prophylactic and therapeutic uses).</x:v>
      </x:c>
      <x:c r="E41" s="51" t="str"/>
      <x:c r="F41" s="51" t="n">
        <x:v>0</x:v>
      </x:c>
      <x:c r="G41" s="51" t="n">
        <x:v>0</x:v>
      </x:c>
      <x:c r="H41" s="51" t="n">
        <x:v>0</x:v>
      </x:c>
      <x:c r="I41" s="51" t="str">
        <x:v>Missing</x:v>
      </x:c>
      <x:c r="J41" s="51" t="n">
        <x:v>0</x:v>
      </x:c>
      <x:c r="K41" s="51" t="n">
        <x:v>0</x:v>
      </x:c>
      <x:c r="L41" s="51" t="n">
        <x:f>MIN(100,IF(C41,20,0)+F41*45+G41*30+H41*15+IF(I41="CriticalBlocked",30,IF(I41="Blocked",20,IF(I41="Missing",20,IF(I41="Partial",10,0))))+J41*20+K41*10)</x:f>
        <x:v>20</x:v>
      </x:c>
      <x:c r="M41" s="51" t="str">
        <x:f>IF(L41&gt;=75,"Critical",IF(L41&gt;=50,"High",IF(L41&gt;=25,"Moderate","Low")))</x:f>
        <x:v>Low</x:v>
      </x:c>
      <x:c r="N41" s="51" t="str">
        <x:v>Unreviewed</x:v>
      </x:c>
      <x:c r="O41" s="51" t="str"/>
      <x:c r="P41" s="51" t="str"/>
      <x:c r="Q41" s="49"/>
      <x:c r="R41" s="49"/>
      <x:c r="S41" s="49"/>
      <x:c r="T41" s="49"/>
      <x:c r="U41" s="49"/>
      <x:c r="V41" s="49"/>
      <x:c r="W41" s="49"/>
      <x:c r="X41" s="49"/>
      <x:c r="Y41" s="49"/>
      <x:c r="Z41" s="49"/>
    </x:row>
    <x:row r="42">
      <x:c r="A42" s="51" t="str">
        <x:v>MM.8.7</x:v>
      </x:c>
      <x:c r="B42" s="51" t="str">
        <x:v>MM.8</x:v>
      </x:c>
      <x:c r="C42" s="59" t="b">
        <x:v>0</x:v>
      </x:c>
      <x:c r="D42" s="51" t="str">
        <x:v>The hospital formulary provides a list of approved prescribing abbreviations.</x:v>
      </x:c>
      <x:c r="E42" s="51" t="str"/>
      <x:c r="F42" s="51" t="n">
        <x:v>0</x:v>
      </x:c>
      <x:c r="G42" s="51" t="n">
        <x:v>0</x:v>
      </x:c>
      <x:c r="H42" s="51" t="n">
        <x:v>0</x:v>
      </x:c>
      <x:c r="I42" s="51" t="str">
        <x:v>Missing</x:v>
      </x:c>
      <x:c r="J42" s="51" t="n">
        <x:v>0</x:v>
      </x:c>
      <x:c r="K42" s="51" t="n">
        <x:v>0</x:v>
      </x:c>
      <x:c r="L42" s="51" t="n">
        <x:f>MIN(100,IF(C42,20,0)+F42*45+G42*30+H42*15+IF(I42="CriticalBlocked",30,IF(I42="Blocked",20,IF(I42="Missing",20,IF(I42="Partial",10,0))))+J42*20+K42*10)</x:f>
        <x:v>20</x:v>
      </x:c>
      <x:c r="M42" s="51" t="str">
        <x:f>IF(L42&gt;=75,"Critical",IF(L42&gt;=50,"High",IF(L42&gt;=25,"Moderate","Low")))</x:f>
        <x:v>Low</x:v>
      </x:c>
      <x:c r="N42" s="51" t="str">
        <x:v>Unreviewed</x:v>
      </x:c>
      <x:c r="O42" s="51" t="str"/>
      <x:c r="P42" s="51" t="str"/>
      <x:c r="Q42" s="49"/>
      <x:c r="R42" s="49"/>
      <x:c r="S42" s="49"/>
      <x:c r="T42" s="49"/>
      <x:c r="U42" s="49"/>
      <x:c r="V42" s="49"/>
      <x:c r="W42" s="49"/>
      <x:c r="X42" s="49"/>
      <x:c r="Y42" s="49"/>
      <x:c r="Z42" s="49"/>
    </x:row>
    <x:row r="43">
      <x:c r="A43" s="51" t="str">
        <x:v>MM.8.8</x:v>
      </x:c>
      <x:c r="B43" s="51" t="str">
        <x:v>MM.8</x:v>
      </x:c>
      <x:c r="C43" s="59" t="b">
        <x:v>0</x:v>
      </x:c>
      <x:c r="D43" s="51" t="str">
        <x:v>The hospital formulary provides a list of prohibited prescribing abbreviations.</x:v>
      </x:c>
      <x:c r="E43" s="51" t="str"/>
      <x:c r="F43" s="51" t="n">
        <x:v>0</x:v>
      </x:c>
      <x:c r="G43" s="51" t="n">
        <x:v>0</x:v>
      </x:c>
      <x:c r="H43" s="51" t="n">
        <x:v>0</x:v>
      </x:c>
      <x:c r="I43" s="51" t="str">
        <x:v>Missing</x:v>
      </x:c>
      <x:c r="J43" s="51" t="n">
        <x:v>0</x:v>
      </x:c>
      <x:c r="K43" s="51" t="n">
        <x:v>0</x:v>
      </x:c>
      <x:c r="L43" s="51" t="n">
        <x:f>MIN(100,IF(C43,20,0)+F43*45+G43*30+H43*15+IF(I43="CriticalBlocked",30,IF(I43="Blocked",20,IF(I43="Missing",20,IF(I43="Partial",10,0))))+J43*20+K43*10)</x:f>
        <x:v>20</x:v>
      </x:c>
      <x:c r="M43" s="51" t="str">
        <x:f>IF(L43&gt;=75,"Critical",IF(L43&gt;=50,"High",IF(L43&gt;=25,"Moderate","Low")))</x:f>
        <x:v>Low</x:v>
      </x:c>
      <x:c r="N43" s="51" t="str">
        <x:v>Unreviewed</x:v>
      </x:c>
      <x:c r="O43" s="51" t="str"/>
      <x:c r="P43" s="51" t="str"/>
      <x:c r="Q43" s="49"/>
      <x:c r="R43" s="49"/>
      <x:c r="S43" s="49"/>
      <x:c r="T43" s="49"/>
      <x:c r="U43" s="49"/>
      <x:c r="V43" s="49"/>
      <x:c r="W43" s="49"/>
      <x:c r="X43" s="49"/>
      <x:c r="Y43" s="49"/>
      <x:c r="Z43" s="49"/>
    </x:row>
    <x:row r="44">
      <x:c r="A44" s="51" t="str">
        <x:v>MM.8.9</x:v>
      </x:c>
      <x:c r="B44" s="51" t="str">
        <x:v>MM.8</x:v>
      </x:c>
      <x:c r="C44" s="59" t="b">
        <x:v>0</x:v>
      </x:c>
      <x:c r="D44" s="51" t="str">
        <x:v>The hospital formulary provides appendixes on important policies, therapeutic guidelines, drug safety in pregnancy and lactation, and dose adjustment in organ failure.</x:v>
      </x:c>
      <x:c r="E44" s="51" t="str"/>
      <x:c r="F44" s="51" t="n">
        <x:v>0</x:v>
      </x:c>
      <x:c r="G44" s="51" t="n">
        <x:v>0</x:v>
      </x:c>
      <x:c r="H44" s="51" t="n">
        <x:v>0</x:v>
      </x:c>
      <x:c r="I44" s="51" t="str">
        <x:v>Missing</x:v>
      </x:c>
      <x:c r="J44" s="51" t="n">
        <x:v>0</x:v>
      </x:c>
      <x:c r="K44" s="51" t="n">
        <x:v>0</x:v>
      </x:c>
      <x:c r="L44" s="51" t="n">
        <x:f>MIN(100,IF(C44,20,0)+F44*45+G44*30+H44*15+IF(I44="CriticalBlocked",30,IF(I44="Blocked",20,IF(I44="Missing",20,IF(I44="Partial",10,0))))+J44*20+K44*10)</x:f>
        <x:v>20</x:v>
      </x:c>
      <x:c r="M44" s="51" t="str">
        <x:f>IF(L44&gt;=75,"Critical",IF(L44&gt;=50,"High",IF(L44&gt;=25,"Moderate","Low")))</x:f>
        <x:v>Low</x:v>
      </x:c>
      <x:c r="N44" s="51" t="str">
        <x:v>Unreviewed</x:v>
      </x:c>
      <x:c r="O44" s="51" t="str"/>
      <x:c r="P44" s="51" t="str"/>
      <x:c r="Q44" s="49"/>
      <x:c r="R44" s="49"/>
      <x:c r="S44" s="49"/>
      <x:c r="T44" s="49"/>
      <x:c r="U44" s="49"/>
      <x:c r="V44" s="49"/>
      <x:c r="W44" s="49"/>
      <x:c r="X44" s="49"/>
      <x:c r="Y44" s="49"/>
      <x:c r="Z44" s="49"/>
    </x:row>
    <x:row r="45">
      <x:c r="A45" s="51" t="str">
        <x:v>MM.9.1</x:v>
      </x:c>
      <x:c r="B45" s="51" t="str">
        <x:v>MM.9</x:v>
      </x:c>
      <x:c r="C45" s="59" t="b">
        <x:v>0</x:v>
      </x:c>
      <x:c r="D45" s="51" t="str">
        <x:v>There is a policy and procedure for selection, approval, and procurement of non formulary medications within an acceptable time frame.</x:v>
      </x:c>
      <x:c r="E45" s="51" t="str"/>
      <x:c r="F45" s="51" t="n">
        <x:v>0</x:v>
      </x:c>
      <x:c r="G45" s="51" t="n">
        <x:v>0</x:v>
      </x:c>
      <x:c r="H45" s="51" t="n">
        <x:v>0</x:v>
      </x:c>
      <x:c r="I45" s="51" t="str">
        <x:v>Missing</x:v>
      </x:c>
      <x:c r="J45" s="51" t="n">
        <x:v>0</x:v>
      </x:c>
      <x:c r="K45" s="51" t="n">
        <x:v>0</x:v>
      </x:c>
      <x:c r="L45" s="51" t="n">
        <x:f>MIN(100,IF(C45,20,0)+F45*45+G45*30+H45*15+IF(I45="CriticalBlocked",30,IF(I45="Blocked",20,IF(I45="Missing",20,IF(I45="Partial",10,0))))+J45*20+K45*10)</x:f>
        <x:v>20</x:v>
      </x:c>
      <x:c r="M45" s="51" t="str">
        <x:f>IF(L45&gt;=75,"Critical",IF(L45&gt;=50,"High",IF(L45&gt;=25,"Moderate","Low")))</x:f>
        <x:v>Low</x:v>
      </x:c>
      <x:c r="N45" s="51" t="str">
        <x:v>Unreviewed</x:v>
      </x:c>
      <x:c r="O45" s="51" t="str"/>
      <x:c r="P45" s="51" t="str"/>
      <x:c r="Q45" s="49"/>
      <x:c r="R45" s="49"/>
      <x:c r="S45" s="49"/>
      <x:c r="T45" s="49"/>
      <x:c r="U45" s="49"/>
      <x:c r="V45" s="49"/>
      <x:c r="W45" s="49"/>
      <x:c r="X45" s="49"/>
      <x:c r="Y45" s="49"/>
      <x:c r="Z45" s="49"/>
    </x:row>
    <x:row r="46">
      <x:c r="A46" s="51" t="str">
        <x:v>MM.9.2</x:v>
      </x:c>
      <x:c r="B46" s="51" t="str">
        <x:v>MM.9</x:v>
      </x:c>
      <x:c r="C46" s="59" t="b">
        <x:v>0</x:v>
      </x:c>
      <x:c r="D46" s="51" t="str">
        <x:v>A patient-specific non-formulary drug request form is readily available.</x:v>
      </x:c>
      <x:c r="E46" s="51" t="str"/>
      <x:c r="F46" s="51" t="n">
        <x:v>0</x:v>
      </x:c>
      <x:c r="G46" s="51" t="n">
        <x:v>0</x:v>
      </x:c>
      <x:c r="H46" s="51" t="n">
        <x:v>0</x:v>
      </x:c>
      <x:c r="I46" s="51" t="str">
        <x:v>Missing</x:v>
      </x:c>
      <x:c r="J46" s="51" t="n">
        <x:v>0</x:v>
      </x:c>
      <x:c r="K46" s="51" t="n">
        <x:v>0</x:v>
      </x:c>
      <x:c r="L46" s="51" t="n">
        <x:f>MIN(100,IF(C46,20,0)+F46*45+G46*30+H46*15+IF(I46="CriticalBlocked",30,IF(I46="Blocked",20,IF(I46="Missing",20,IF(I46="Partial",10,0))))+J46*20+K46*10)</x:f>
        <x:v>20</x:v>
      </x:c>
      <x:c r="M46" s="51" t="str">
        <x:f>IF(L46&gt;=75,"Critical",IF(L46&gt;=50,"High",IF(L46&gt;=25,"Moderate","Low")))</x:f>
        <x:v>Low</x:v>
      </x:c>
      <x:c r="N46" s="51" t="str">
        <x:v>Unreviewed</x:v>
      </x:c>
      <x:c r="O46" s="51" t="str"/>
      <x:c r="P46" s="51" t="str"/>
      <x:c r="Q46" s="49"/>
      <x:c r="R46" s="49"/>
      <x:c r="S46" s="49"/>
      <x:c r="T46" s="49"/>
      <x:c r="U46" s="49"/>
      <x:c r="V46" s="49"/>
      <x:c r="W46" s="49"/>
      <x:c r="X46" s="49"/>
      <x:c r="Y46" s="49"/>
      <x:c r="Z46" s="49"/>
    </x:row>
    <x:row r="47">
      <x:c r="A47" s="51" t="str">
        <x:v>MM.9.3</x:v>
      </x:c>
      <x:c r="B47" s="51" t="str">
        <x:v>MM.9</x:v>
      </x:c>
      <x:c r="C47" s="59" t="b">
        <x:v>0</x:v>
      </x:c>
      <x:c r="D47" s="51" t="str">
        <x:v>There is proper handling H C of non-formulary drug requisition within an acceptable time frame.</x:v>
      </x:c>
      <x:c r="E47" s="51" t="str"/>
      <x:c r="F47" s="51" t="n">
        <x:v>0</x:v>
      </x:c>
      <x:c r="G47" s="51" t="n">
        <x:v>0</x:v>
      </x:c>
      <x:c r="H47" s="51" t="n">
        <x:v>0</x:v>
      </x:c>
      <x:c r="I47" s="51" t="str">
        <x:v>Missing</x:v>
      </x:c>
      <x:c r="J47" s="51" t="n">
        <x:v>0</x:v>
      </x:c>
      <x:c r="K47" s="51" t="n">
        <x:v>0</x:v>
      </x:c>
      <x:c r="L47" s="51" t="n">
        <x:f>MIN(100,IF(C47,20,0)+F47*45+G47*30+H47*15+IF(I47="CriticalBlocked",30,IF(I47="Blocked",20,IF(I47="Missing",20,IF(I47="Partial",10,0))))+J47*20+K47*10)</x:f>
        <x:v>20</x:v>
      </x:c>
      <x:c r="M47" s="51" t="str">
        <x:f>IF(L47&gt;=75,"Critical",IF(L47&gt;=50,"High",IF(L47&gt;=25,"Moderate","Low")))</x:f>
        <x:v>Low</x:v>
      </x:c>
      <x:c r="N47" s="51" t="str">
        <x:v>Unreviewed</x:v>
      </x:c>
      <x:c r="O47" s="51" t="str"/>
      <x:c r="P47" s="51" t="str"/>
      <x:c r="Q47" s="49"/>
      <x:c r="R47" s="49"/>
      <x:c r="S47" s="49"/>
      <x:c r="T47" s="49"/>
      <x:c r="U47" s="49"/>
      <x:c r="V47" s="49"/>
      <x:c r="W47" s="49"/>
      <x:c r="X47" s="49"/>
      <x:c r="Y47" s="49"/>
      <x:c r="Z47" s="49"/>
    </x:row>
    <x:row r="48">
      <x:c r="A48" s="51" t="str">
        <x:v>MM.9.4</x:v>
      </x:c>
      <x:c r="B48" s="51" t="str">
        <x:v>MM.9</x:v>
      </x:c>
      <x:c r="C48" s="59" t="b">
        <x:v>0</x:v>
      </x:c>
      <x:c r="D48" s="51" t="str">
        <x:v>There is a regular review H C of non-formulary drug requests by the pharmacy and therapeutics committee or an equivalent multidisciplinary body.</x:v>
      </x:c>
      <x:c r="E48" s="51" t="str"/>
      <x:c r="F48" s="51" t="n">
        <x:v>0</x:v>
      </x:c>
      <x:c r="G48" s="51" t="n">
        <x:v>0</x:v>
      </x:c>
      <x:c r="H48" s="51" t="n">
        <x:v>0</x:v>
      </x:c>
      <x:c r="I48" s="51" t="str">
        <x:v>Missing</x:v>
      </x:c>
      <x:c r="J48" s="51" t="n">
        <x:v>0</x:v>
      </x:c>
      <x:c r="K48" s="51" t="n">
        <x:v>0</x:v>
      </x:c>
      <x:c r="L48" s="51" t="n">
        <x:f>MIN(100,IF(C48,20,0)+F48*45+G48*30+H48*15+IF(I48="CriticalBlocked",30,IF(I48="Blocked",20,IF(I48="Missing",20,IF(I48="Partial",10,0))))+J48*20+K48*10)</x:f>
        <x:v>20</x:v>
      </x:c>
      <x:c r="M48" s="51" t="str">
        <x:f>IF(L48&gt;=75,"Critical",IF(L48&gt;=50,"High",IF(L48&gt;=25,"Moderate","Low")))</x:f>
        <x:v>Low</x:v>
      </x:c>
      <x:c r="N48" s="51" t="str">
        <x:v>Unreviewed</x:v>
      </x:c>
      <x:c r="O48" s="51" t="str"/>
      <x:c r="P48" s="51" t="str"/>
      <x:c r="Q48" s="49"/>
      <x:c r="R48" s="49"/>
      <x:c r="S48" s="49"/>
      <x:c r="T48" s="49"/>
      <x:c r="U48" s="49"/>
      <x:c r="V48" s="49"/>
      <x:c r="W48" s="49"/>
      <x:c r="X48" s="49"/>
      <x:c r="Y48" s="49"/>
      <x:c r="Z48" s="49"/>
    </x:row>
    <x:row r="49">
      <x:c r="A49" s="51" t="str">
        <x:v>MM.10.1</x:v>
      </x:c>
      <x:c r="B49" s="51" t="str">
        <x:v>MM.10</x:v>
      </x:c>
      <x:c r="C49" s="59" t="b">
        <x:v>0</x:v>
      </x:c>
      <x:c r="D49" s="51" t="str">
        <x:v>The hospital implements a policy and procedure on proper communication of medication shortage and outage to prescribers and other healthcare professionals involved in Medication Management Page: 8 of 33 medication management and obtaining medications in the event of a disaster.</x:v>
      </x:c>
      <x:c r="E49" s="51" t="str"/>
      <x:c r="F49" s="51" t="n">
        <x:v>0</x:v>
      </x:c>
      <x:c r="G49" s="51" t="n">
        <x:v>0</x:v>
      </x:c>
      <x:c r="H49" s="51" t="n">
        <x:v>0</x:v>
      </x:c>
      <x:c r="I49" s="51" t="str">
        <x:v>Missing</x:v>
      </x:c>
      <x:c r="J49" s="51" t="n">
        <x:v>0</x:v>
      </x:c>
      <x:c r="K49" s="51" t="n">
        <x:v>0</x:v>
      </x:c>
      <x:c r="L49" s="51" t="n">
        <x:f>MIN(100,IF(C49,20,0)+F49*45+G49*30+H49*15+IF(I49="CriticalBlocked",30,IF(I49="Blocked",20,IF(I49="Missing",20,IF(I49="Partial",10,0))))+J49*20+K49*10)</x:f>
        <x:v>20</x:v>
      </x:c>
      <x:c r="M49" s="51" t="str">
        <x:f>IF(L49&gt;=75,"Critical",IF(L49&gt;=50,"High",IF(L49&gt;=25,"Moderate","Low")))</x:f>
        <x:v>Low</x:v>
      </x:c>
      <x:c r="N49" s="51" t="str">
        <x:v>Unreviewed</x:v>
      </x:c>
      <x:c r="O49" s="51" t="str"/>
      <x:c r="P49" s="51" t="str"/>
      <x:c r="Q49" s="49"/>
      <x:c r="R49" s="49"/>
      <x:c r="S49" s="49"/>
      <x:c r="T49" s="49"/>
      <x:c r="U49" s="49"/>
      <x:c r="V49" s="49"/>
      <x:c r="W49" s="49"/>
      <x:c r="X49" s="49"/>
      <x:c r="Y49" s="49"/>
      <x:c r="Z49" s="49"/>
    </x:row>
    <x:row r="50">
      <x:c r="A50" s="51" t="str">
        <x:v>MM.10.2</x:v>
      </x:c>
      <x:c r="B50" s="51" t="str">
        <x:v>MM.10</x:v>
      </x:c>
      <x:c r="C50" s="59" t="b">
        <x:v>0</x:v>
      </x:c>
      <x:c r="D50" s="51" t="str">
        <x:v>The pharmacy and H C therapeutics committee develops and approves medication substitution protocols in the event of medication shortage or outage.</x:v>
      </x:c>
      <x:c r="E50" s="51" t="str"/>
      <x:c r="F50" s="51" t="n">
        <x:v>0</x:v>
      </x:c>
      <x:c r="G50" s="51" t="n">
        <x:v>0</x:v>
      </x:c>
      <x:c r="H50" s="51" t="n">
        <x:v>0</x:v>
      </x:c>
      <x:c r="I50" s="51" t="str">
        <x:v>Missing</x:v>
      </x:c>
      <x:c r="J50" s="51" t="n">
        <x:v>0</x:v>
      </x:c>
      <x:c r="K50" s="51" t="n">
        <x:v>0</x:v>
      </x:c>
      <x:c r="L50" s="51" t="n">
        <x:f>MIN(100,IF(C50,20,0)+F50*45+G50*30+H50*15+IF(I50="CriticalBlocked",30,IF(I50="Blocked",20,IF(I50="Missing",20,IF(I50="Partial",10,0))))+J50*20+K50*10)</x:f>
        <x:v>20</x:v>
      </x:c>
      <x:c r="M50" s="51" t="str">
        <x:f>IF(L50&gt;=75,"Critical",IF(L50&gt;=50,"High",IF(L50&gt;=25,"Moderate","Low")))</x:f>
        <x:v>Low</x:v>
      </x:c>
      <x:c r="N50" s="51" t="str">
        <x:v>Unreviewed</x:v>
      </x:c>
      <x:c r="O50" s="51" t="str"/>
      <x:c r="P50" s="51" t="str"/>
      <x:c r="Q50" s="49"/>
      <x:c r="R50" s="49"/>
      <x:c r="S50" s="49"/>
      <x:c r="T50" s="49"/>
      <x:c r="U50" s="49"/>
      <x:c r="V50" s="49"/>
      <x:c r="W50" s="49"/>
      <x:c r="X50" s="49"/>
      <x:c r="Y50" s="49"/>
      <x:c r="Z50" s="49"/>
    </x:row>
    <x:row r="51">
      <x:c r="A51" s="51" t="str">
        <x:v>MM.10.3</x:v>
      </x:c>
      <x:c r="B51" s="51" t="str">
        <x:v>MM.10</x:v>
      </x:c>
      <x:c r="C51" s="59" t="b">
        <x:v>0</x:v>
      </x:c>
      <x:c r="D51" s="51" t="str">
        <x:v>There is implementation of the hospital approved medication substitution protocols and staff awareness</x:v>
      </x:c>
      <x:c r="E51" s="51" t="str"/>
      <x:c r="F51" s="51" t="n">
        <x:v>0</x:v>
      </x:c>
      <x:c r="G51" s="51" t="n">
        <x:v>0</x:v>
      </x:c>
      <x:c r="H51" s="51" t="n">
        <x:v>0</x:v>
      </x:c>
      <x:c r="I51" s="51" t="str">
        <x:v>Missing</x:v>
      </x:c>
      <x:c r="J51" s="51" t="n">
        <x:v>0</x:v>
      </x:c>
      <x:c r="K51" s="51" t="n">
        <x:v>0</x:v>
      </x:c>
      <x:c r="L51" s="51" t="n">
        <x:f>MIN(100,IF(C51,20,0)+F51*45+G51*30+H51*15+IF(I51="CriticalBlocked",30,IF(I51="Blocked",20,IF(I51="Missing",20,IF(I51="Partial",10,0))))+J51*20+K51*10)</x:f>
        <x:v>20</x:v>
      </x:c>
      <x:c r="M51" s="51" t="str">
        <x:f>IF(L51&gt;=75,"Critical",IF(L51&gt;=50,"High",IF(L51&gt;=25,"Moderate","Low")))</x:f>
        <x:v>Low</x:v>
      </x:c>
      <x:c r="N51" s="51" t="str">
        <x:v>Unreviewed</x:v>
      </x:c>
      <x:c r="O51" s="51" t="str"/>
      <x:c r="P51" s="51" t="str"/>
      <x:c r="Q51" s="49"/>
      <x:c r="R51" s="49"/>
      <x:c r="S51" s="49"/>
      <x:c r="T51" s="49"/>
      <x:c r="U51" s="49"/>
      <x:c r="V51" s="49"/>
      <x:c r="W51" s="49"/>
      <x:c r="X51" s="49"/>
      <x:c r="Y51" s="49"/>
      <x:c r="Z51" s="49"/>
    </x:row>
    <x:row r="52">
      <x:c r="A52" s="51" t="str">
        <x:v>MM.10.4</x:v>
      </x:c>
      <x:c r="B52" s="51" t="str">
        <x:v>MM.10</x:v>
      </x:c>
      <x:c r="C52" s="59" t="b">
        <x:v>0</x:v>
      </x:c>
      <x:c r="D52" s="51" t="str">
        <x:v>There is a plan for emergency preparedness to respond to the special and large demand of medications during internal and external disasters. The plan is tested for effectiveness and integrated with the general hospital plan.</x:v>
      </x:c>
      <x:c r="E52" s="51" t="str"/>
      <x:c r="F52" s="51" t="n">
        <x:v>0</x:v>
      </x:c>
      <x:c r="G52" s="51" t="n">
        <x:v>0</x:v>
      </x:c>
      <x:c r="H52" s="51" t="n">
        <x:v>0</x:v>
      </x:c>
      <x:c r="I52" s="51" t="str">
        <x:v>Missing</x:v>
      </x:c>
      <x:c r="J52" s="51" t="n">
        <x:v>0</x:v>
      </x:c>
      <x:c r="K52" s="51" t="n">
        <x:v>0</x:v>
      </x:c>
      <x:c r="L52" s="51" t="n">
        <x:f>MIN(100,IF(C52,20,0)+F52*45+G52*30+H52*15+IF(I52="CriticalBlocked",30,IF(I52="Blocked",20,IF(I52="Missing",20,IF(I52="Partial",10,0))))+J52*20+K52*10)</x:f>
        <x:v>20</x:v>
      </x:c>
      <x:c r="M52" s="51" t="str">
        <x:f>IF(L52&gt;=75,"Critical",IF(L52&gt;=50,"High",IF(L52&gt;=25,"Moderate","Low")))</x:f>
        <x:v>Low</x:v>
      </x:c>
      <x:c r="N52" s="51" t="str">
        <x:v>Unreviewed</x:v>
      </x:c>
      <x:c r="O52" s="51" t="str"/>
      <x:c r="P52" s="51" t="str"/>
      <x:c r="Q52" s="49"/>
      <x:c r="R52" s="49"/>
      <x:c r="S52" s="49"/>
      <x:c r="T52" s="49"/>
      <x:c r="U52" s="49"/>
      <x:c r="V52" s="49"/>
      <x:c r="W52" s="49"/>
      <x:c r="X52" s="49"/>
      <x:c r="Y52" s="49"/>
      <x:c r="Z52" s="49"/>
    </x:row>
    <x:row r="53">
      <x:c r="A53" s="51" t="str">
        <x:v>MM.11.1</x:v>
      </x:c>
      <x:c r="B53" s="51" t="str">
        <x:v>MM.11</x:v>
      </x:c>
      <x:c r="C53" s="59" t="b">
        <x:v>0</x:v>
      </x:c>
      <x:c r="D53" s="51" t="str">
        <x:v>There is a policy and procedure on proper storage and control of medications, nutrition products, and free medical samples (from the point of receipt until the point of administration).</x:v>
      </x:c>
      <x:c r="E53" s="51" t="str"/>
      <x:c r="F53" s="51" t="n">
        <x:v>0</x:v>
      </x:c>
      <x:c r="G53" s="51" t="n">
        <x:v>0</x:v>
      </x:c>
      <x:c r="H53" s="51" t="n">
        <x:v>0</x:v>
      </x:c>
      <x:c r="I53" s="51" t="str">
        <x:v>Missing</x:v>
      </x:c>
      <x:c r="J53" s="51" t="n">
        <x:v>0</x:v>
      </x:c>
      <x:c r="K53" s="51" t="n">
        <x:v>0</x:v>
      </x:c>
      <x:c r="L53" s="51" t="n">
        <x:f>MIN(100,IF(C53,20,0)+F53*45+G53*30+H53*15+IF(I53="CriticalBlocked",30,IF(I53="Blocked",20,IF(I53="Missing",20,IF(I53="Partial",10,0))))+J53*20+K53*10)</x:f>
        <x:v>20</x:v>
      </x:c>
      <x:c r="M53" s="51" t="str">
        <x:f>IF(L53&gt;=75,"Critical",IF(L53&gt;=50,"High",IF(L53&gt;=25,"Moderate","Low")))</x:f>
        <x:v>Low</x:v>
      </x:c>
      <x:c r="N53" s="51" t="str">
        <x:v>Unreviewed</x:v>
      </x:c>
      <x:c r="O53" s="51" t="str"/>
      <x:c r="P53" s="51" t="str"/>
      <x:c r="Q53" s="49"/>
      <x:c r="R53" s="49"/>
      <x:c r="S53" s="49"/>
      <x:c r="T53" s="49"/>
      <x:c r="U53" s="49"/>
      <x:c r="V53" s="49"/>
      <x:c r="W53" s="49"/>
      <x:c r="X53" s="49"/>
      <x:c r="Y53" s="49"/>
      <x:c r="Z53" s="49"/>
    </x:row>
    <x:row r="54">
      <x:c r="A54" s="51" t="str">
        <x:v>MM.11.2</x:v>
      </x:c>
      <x:c r="B54" s="51" t="str">
        <x:v>MM.11</x:v>
      </x:c>
      <x:c r="C54" s="59" t="b">
        <x:v>0</x:v>
      </x:c>
      <x:c r="D54" s="51" t="str">
        <x:v>There is a policy and procedure to control the access of pharmaceutical care and nonpharmaceutical care staff to stores, pharmacies, and patient care areas including after hours and in case of emergency (e.g., fire, flood).</x:v>
      </x:c>
      <x:c r="E54" s="51" t="str"/>
      <x:c r="F54" s="51" t="n">
        <x:v>0</x:v>
      </x:c>
      <x:c r="G54" s="51" t="n">
        <x:v>0</x:v>
      </x:c>
      <x:c r="H54" s="51" t="n">
        <x:v>0</x:v>
      </x:c>
      <x:c r="I54" s="51" t="str">
        <x:v>Missing</x:v>
      </x:c>
      <x:c r="J54" s="51" t="n">
        <x:v>0</x:v>
      </x:c>
      <x:c r="K54" s="51" t="n">
        <x:v>0</x:v>
      </x:c>
      <x:c r="L54" s="51" t="n">
        <x:f>MIN(100,IF(C54,20,0)+F54*45+G54*30+H54*15+IF(I54="CriticalBlocked",30,IF(I54="Blocked",20,IF(I54="Missing",20,IF(I54="Partial",10,0))))+J54*20+K54*10)</x:f>
        <x:v>20</x:v>
      </x:c>
      <x:c r="M54" s="51" t="str">
        <x:f>IF(L54&gt;=75,"Critical",IF(L54&gt;=50,"High",IF(L54&gt;=25,"Moderate","Low")))</x:f>
        <x:v>Low</x:v>
      </x:c>
      <x:c r="N54" s="51" t="str">
        <x:v>Unreviewed</x:v>
      </x:c>
      <x:c r="O54" s="51" t="str"/>
      <x:c r="P54" s="51" t="str"/>
      <x:c r="Q54" s="49"/>
      <x:c r="R54" s="49"/>
      <x:c r="S54" s="49"/>
      <x:c r="T54" s="49"/>
      <x:c r="U54" s="49"/>
      <x:c r="V54" s="49"/>
      <x:c r="W54" s="49"/>
      <x:c r="X54" s="49"/>
      <x:c r="Y54" s="49"/>
      <x:c r="Z54" s="49"/>
    </x:row>
    <x:row r="55">
      <x:c r="A55" s="51" t="str">
        <x:v>MM.11.3</x:v>
      </x:c>
      <x:c r="B55" s="51" t="str">
        <x:v>MM.11</x:v>
      </x:c>
      <x:c r="C55" s="59" t="b">
        <x:v>0</x:v>
      </x:c>
      <x:c r="D55" s="51" t="str">
        <x:v>There are measures in place to secure medications storage areas including limited access, proper locking procedures, and door keys handling.</x:v>
      </x:c>
      <x:c r="E55" s="51" t="str"/>
      <x:c r="F55" s="51" t="n">
        <x:v>0</x:v>
      </x:c>
      <x:c r="G55" s="51" t="n">
        <x:v>0</x:v>
      </x:c>
      <x:c r="H55" s="51" t="n">
        <x:v>0</x:v>
      </x:c>
      <x:c r="I55" s="51" t="str">
        <x:v>Missing</x:v>
      </x:c>
      <x:c r="J55" s="51" t="n">
        <x:v>0</x:v>
      </x:c>
      <x:c r="K55" s="51" t="n">
        <x:v>0</x:v>
      </x:c>
      <x:c r="L55" s="51" t="n">
        <x:f>MIN(100,IF(C55,20,0)+F55*45+G55*30+H55*15+IF(I55="CriticalBlocked",30,IF(I55="Blocked",20,IF(I55="Missing",20,IF(I55="Partial",10,0))))+J55*20+K55*10)</x:f>
        <x:v>20</x:v>
      </x:c>
      <x:c r="M55" s="51" t="str">
        <x:f>IF(L55&gt;=75,"Critical",IF(L55&gt;=50,"High",IF(L55&gt;=25,"Moderate","Low")))</x:f>
        <x:v>Low</x:v>
      </x:c>
      <x:c r="N55" s="51" t="str">
        <x:v>Unreviewed</x:v>
      </x:c>
      <x:c r="O55" s="51" t="str"/>
      <x:c r="P55" s="51" t="str"/>
      <x:c r="Q55" s="49"/>
      <x:c r="R55" s="49"/>
      <x:c r="S55" s="49"/>
      <x:c r="T55" s="49"/>
      <x:c r="U55" s="49"/>
      <x:c r="V55" s="49"/>
      <x:c r="W55" s="49"/>
      <x:c r="X55" s="49"/>
      <x:c r="Y55" s="49"/>
      <x:c r="Z55" s="49"/>
    </x:row>
    <x:row r="56">
      <x:c r="A56" s="51" t="str">
        <x:v>MM.11.4</x:v>
      </x:c>
      <x:c r="B56" s="51" t="str">
        <x:v>MM.11</x:v>
      </x:c>
      <x:c r="C56" s="59" t="b">
        <x:v>0</x:v>
      </x:c>
      <x:c r="D56" s="51" t="str">
        <x:v>Only authorized individuals have access to stored medications.</x:v>
      </x:c>
      <x:c r="E56" s="51" t="str"/>
      <x:c r="F56" s="51" t="n">
        <x:v>0</x:v>
      </x:c>
      <x:c r="G56" s="51" t="n">
        <x:v>0</x:v>
      </x:c>
      <x:c r="H56" s="51" t="n">
        <x:v>0</x:v>
      </x:c>
      <x:c r="I56" s="51" t="str">
        <x:v>Missing</x:v>
      </x:c>
      <x:c r="J56" s="51" t="n">
        <x:v>0</x:v>
      </x:c>
      <x:c r="K56" s="51" t="n">
        <x:v>0</x:v>
      </x:c>
      <x:c r="L56" s="51" t="n">
        <x:f>MIN(100,IF(C56,20,0)+F56*45+G56*30+H56*15+IF(I56="CriticalBlocked",30,IF(I56="Blocked",20,IF(I56="Missing",20,IF(I56="Partial",10,0))))+J56*20+K56*10)</x:f>
        <x:v>20</x:v>
      </x:c>
      <x:c r="M56" s="51" t="str">
        <x:f>IF(L56&gt;=75,"Critical",IF(L56&gt;=50,"High",IF(L56&gt;=25,"Moderate","Low")))</x:f>
        <x:v>Low</x:v>
      </x:c>
      <x:c r="N56" s="51" t="str">
        <x:v>Unreviewed</x:v>
      </x:c>
      <x:c r="O56" s="51" t="str"/>
      <x:c r="P56" s="51" t="str"/>
      <x:c r="Q56" s="49"/>
      <x:c r="R56" s="49"/>
      <x:c r="S56" s="49"/>
      <x:c r="T56" s="49"/>
      <x:c r="U56" s="49"/>
      <x:c r="V56" s="49"/>
      <x:c r="W56" s="49"/>
      <x:c r="X56" s="49"/>
      <x:c r="Y56" s="49"/>
      <x:c r="Z56" s="49"/>
    </x:row>
    <x:row r="57">
      <x:c r="A57" s="51" t="str">
        <x:v>MM.11.5</x:v>
      </x:c>
      <x:c r="B57" s="51" t="str">
        <x:v>MM.11</x:v>
      </x:c>
      <x:c r="C57" s="59" t="b">
        <x:v>0</x:v>
      </x:c>
      <x:c r="D57" s="51" t="str">
        <x:v>Medications are stored in a way to avoid mixing with labels showing the drug name and expiry date</x:v>
      </x:c>
      <x:c r="E57" s="51" t="str"/>
      <x:c r="F57" s="51" t="n">
        <x:v>0</x:v>
      </x:c>
      <x:c r="G57" s="51" t="n">
        <x:v>0</x:v>
      </x:c>
      <x:c r="H57" s="51" t="n">
        <x:v>0</x:v>
      </x:c>
      <x:c r="I57" s="51" t="str">
        <x:v>Missing</x:v>
      </x:c>
      <x:c r="J57" s="51" t="n">
        <x:v>0</x:v>
      </x:c>
      <x:c r="K57" s="51" t="n">
        <x:v>0</x:v>
      </x:c>
      <x:c r="L57" s="51" t="n">
        <x:f>MIN(100,IF(C57,20,0)+F57*45+G57*30+H57*15+IF(I57="CriticalBlocked",30,IF(I57="Blocked",20,IF(I57="Missing",20,IF(I57="Partial",10,0))))+J57*20+K57*10)</x:f>
        <x:v>20</x:v>
      </x:c>
      <x:c r="M57" s="51" t="str">
        <x:f>IF(L57&gt;=75,"Critical",IF(L57&gt;=50,"High",IF(L57&gt;=25,"Moderate","Low")))</x:f>
        <x:v>Low</x:v>
      </x:c>
      <x:c r="N57" s="51" t="str">
        <x:v>Unreviewed</x:v>
      </x:c>
      <x:c r="O57" s="51" t="str"/>
      <x:c r="P57" s="51" t="str"/>
      <x:c r="Q57" s="49"/>
      <x:c r="R57" s="49"/>
      <x:c r="S57" s="49"/>
      <x:c r="T57" s="49"/>
      <x:c r="U57" s="49"/>
      <x:c r="V57" s="49"/>
      <x:c r="W57" s="49"/>
      <x:c r="X57" s="49"/>
      <x:c r="Y57" s="49"/>
      <x:c r="Z57" s="49"/>
    </x:row>
    <x:row r="58">
      <x:c r="A58" s="51" t="str">
        <x:v>MM.11.6</x:v>
      </x:c>
      <x:c r="B58" s="51" t="str">
        <x:v>MM.11</x:v>
      </x:c>
      <x:c r="C58" s="59" t="b">
        <x:v>0</x:v>
      </x:c>
      <x:c r="D58" s="51" t="str">
        <x:v>No medications are stored directly on floor (a minimum of ten centimeters is left to manage spills). Medications are not stacked so high to block sprinklers or come in contact with overhead lights or pipes.</x:v>
      </x:c>
      <x:c r="E58" s="51" t="str"/>
      <x:c r="F58" s="51" t="n">
        <x:v>0</x:v>
      </x:c>
      <x:c r="G58" s="51" t="n">
        <x:v>0</x:v>
      </x:c>
      <x:c r="H58" s="51" t="n">
        <x:v>0</x:v>
      </x:c>
      <x:c r="I58" s="51" t="str">
        <x:v>Missing</x:v>
      </x:c>
      <x:c r="J58" s="51" t="n">
        <x:v>0</x:v>
      </x:c>
      <x:c r="K58" s="51" t="n">
        <x:v>0</x:v>
      </x:c>
      <x:c r="L58" s="51" t="n">
        <x:f>MIN(100,IF(C58,20,0)+F58*45+G58*30+H58*15+IF(I58="CriticalBlocked",30,IF(I58="Blocked",20,IF(I58="Missing",20,IF(I58="Partial",10,0))))+J58*20+K58*10)</x:f>
        <x:v>20</x:v>
      </x:c>
      <x:c r="M58" s="51" t="str">
        <x:f>IF(L58&gt;=75,"Critical",IF(L58&gt;=50,"High",IF(L58&gt;=25,"Moderate","Low")))</x:f>
        <x:v>Low</x:v>
      </x:c>
      <x:c r="N58" s="51" t="str">
        <x:v>Unreviewed</x:v>
      </x:c>
      <x:c r="O58" s="51" t="str"/>
      <x:c r="P58" s="51" t="str"/>
      <x:c r="Q58" s="49"/>
      <x:c r="R58" s="49"/>
      <x:c r="S58" s="49"/>
      <x:c r="T58" s="49"/>
      <x:c r="U58" s="49"/>
      <x:c r="V58" s="49"/>
      <x:c r="W58" s="49"/>
      <x:c r="X58" s="49"/>
      <x:c r="Y58" s="49"/>
      <x:c r="Z58" s="49"/>
    </x:row>
    <x:row r="59">
      <x:c r="A59" s="51" t="str">
        <x:v>MM.11.7</x:v>
      </x:c>
      <x:c r="B59" s="51" t="str">
        <x:v>MM.11</x:v>
      </x:c>
      <x:c r="C59" s="59" t="b">
        <x:v>0</x:v>
      </x:c>
      <x:c r="D59" s="51" t="str">
        <x:v>Medications are stored according to manufacturer’s recommendations (temperature, light, humidity, sanitation).</x:v>
      </x:c>
      <x:c r="E59" s="51" t="str"/>
      <x:c r="F59" s="51" t="n">
        <x:v>0</x:v>
      </x:c>
      <x:c r="G59" s="51" t="n">
        <x:v>0</x:v>
      </x:c>
      <x:c r="H59" s="51" t="n">
        <x:v>0</x:v>
      </x:c>
      <x:c r="I59" s="51" t="str">
        <x:v>Missing</x:v>
      </x:c>
      <x:c r="J59" s="51" t="n">
        <x:v>0</x:v>
      </x:c>
      <x:c r="K59" s="51" t="n">
        <x:v>0</x:v>
      </x:c>
      <x:c r="L59" s="51" t="n">
        <x:f>MIN(100,IF(C59,20,0)+F59*45+G59*30+H59*15+IF(I59="CriticalBlocked",30,IF(I59="Blocked",20,IF(I59="Missing",20,IF(I59="Partial",10,0))))+J59*20+K59*10)</x:f>
        <x:v>20</x:v>
      </x:c>
      <x:c r="M59" s="51" t="str">
        <x:f>IF(L59&gt;=75,"Critical",IF(L59&gt;=50,"High",IF(L59&gt;=25,"Moderate","Low")))</x:f>
        <x:v>Low</x:v>
      </x:c>
      <x:c r="N59" s="51" t="str">
        <x:v>Unreviewed</x:v>
      </x:c>
      <x:c r="O59" s="51" t="str"/>
      <x:c r="P59" s="51" t="str"/>
      <x:c r="Q59" s="49"/>
      <x:c r="R59" s="49"/>
      <x:c r="S59" s="49"/>
      <x:c r="T59" s="49"/>
      <x:c r="U59" s="49"/>
      <x:c r="V59" s="49"/>
      <x:c r="W59" s="49"/>
      <x:c r="X59" s="49"/>
      <x:c r="Y59" s="49"/>
      <x:c r="Z59" s="49"/>
    </x:row>
    <x:row r="60">
      <x:c r="A60" s="51" t="str">
        <x:v>MM.11.8</x:v>
      </x:c>
      <x:c r="B60" s="51" t="str">
        <x:v>MM.11</x:v>
      </x:c>
      <x:c r="C60" s="59" t="b">
        <x:v>0</x:v>
      </x:c>
      <x:c r="D60" s="51" t="str">
        <x:v>There is an appropriate storage area for regular medications with controlled temperature (between 18 and 25 degrees centigrade), twenty four hours a day, seven days a week.</x:v>
      </x:c>
      <x:c r="E60" s="51" t="str"/>
      <x:c r="F60" s="51" t="n">
        <x:v>0</x:v>
      </x:c>
      <x:c r="G60" s="51" t="n">
        <x:v>0</x:v>
      </x:c>
      <x:c r="H60" s="51" t="n">
        <x:v>0</x:v>
      </x:c>
      <x:c r="I60" s="51" t="str">
        <x:v>Missing</x:v>
      </x:c>
      <x:c r="J60" s="51" t="n">
        <x:v>0</x:v>
      </x:c>
      <x:c r="K60" s="51" t="n">
        <x:v>0</x:v>
      </x:c>
      <x:c r="L60" s="51" t="n">
        <x:f>MIN(100,IF(C60,20,0)+F60*45+G60*30+H60*15+IF(I60="CriticalBlocked",30,IF(I60="Blocked",20,IF(I60="Missing",20,IF(I60="Partial",10,0))))+J60*20+K60*10)</x:f>
        <x:v>20</x:v>
      </x:c>
      <x:c r="M60" s="51" t="str">
        <x:f>IF(L60&gt;=75,"Critical",IF(L60&gt;=50,"High",IF(L60&gt;=25,"Moderate","Low")))</x:f>
        <x:v>Low</x:v>
      </x:c>
      <x:c r="N60" s="51" t="str">
        <x:v>Unreviewed</x:v>
      </x:c>
      <x:c r="O60" s="51" t="str"/>
      <x:c r="P60" s="51" t="str"/>
      <x:c r="Q60" s="49"/>
      <x:c r="R60" s="49"/>
      <x:c r="S60" s="49"/>
      <x:c r="T60" s="49"/>
      <x:c r="U60" s="49"/>
      <x:c r="V60" s="49"/>
      <x:c r="W60" s="49"/>
      <x:c r="X60" s="49"/>
      <x:c r="Y60" s="49"/>
      <x:c r="Z60" s="49"/>
    </x:row>
    <x:row r="61">
      <x:c r="A61" s="51" t="str">
        <x:v>MM.11.9</x:v>
      </x:c>
      <x:c r="B61" s="51" t="str">
        <x:v>MM.11</x:v>
      </x:c>
      <x:c r="C61" s="59" t="b">
        <x:v>0</x:v>
      </x:c>
      <x:c r="D61" s="51" t="str">
        <x:v>The room air temperature is checked and documented at least once daily on the temperature log sheet.</x:v>
      </x:c>
      <x:c r="E61" s="51" t="str"/>
      <x:c r="F61" s="51" t="n">
        <x:v>0</x:v>
      </x:c>
      <x:c r="G61" s="51" t="n">
        <x:v>0</x:v>
      </x:c>
      <x:c r="H61" s="51" t="n">
        <x:v>0</x:v>
      </x:c>
      <x:c r="I61" s="51" t="str">
        <x:v>Missing</x:v>
      </x:c>
      <x:c r="J61" s="51" t="n">
        <x:v>0</x:v>
      </x:c>
      <x:c r="K61" s="51" t="n">
        <x:v>0</x:v>
      </x:c>
      <x:c r="L61" s="51" t="n">
        <x:f>MIN(100,IF(C61,20,0)+F61*45+G61*30+H61*15+IF(I61="CriticalBlocked",30,IF(I61="Blocked",20,IF(I61="Missing",20,IF(I61="Partial",10,0))))+J61*20+K61*10)</x:f>
        <x:v>20</x:v>
      </x:c>
      <x:c r="M61" s="51" t="str">
        <x:f>IF(L61&gt;=75,"Critical",IF(L61&gt;=50,"High",IF(L61&gt;=25,"Moderate","Low")))</x:f>
        <x:v>Low</x:v>
      </x:c>
      <x:c r="N61" s="51" t="str">
        <x:v>Unreviewed</x:v>
      </x:c>
      <x:c r="O61" s="51" t="str"/>
      <x:c r="P61" s="51" t="str"/>
      <x:c r="Q61" s="49"/>
      <x:c r="R61" s="49"/>
      <x:c r="S61" s="49"/>
      <x:c r="T61" s="49"/>
      <x:c r="U61" s="49"/>
      <x:c r="V61" s="49"/>
      <x:c r="W61" s="49"/>
      <x:c r="X61" s="49"/>
      <x:c r="Y61" s="49"/>
      <x:c r="Z61" s="49"/>
    </x:row>
    <x:row r="62">
      <x:c r="A62" s="51" t="str">
        <x:v>MM.11.10</x:v>
      </x:c>
      <x:c r="B62" s="51" t="str">
        <x:v>MM.11</x:v>
      </x:c>
      <x:c r="C62" s="59" t="b">
        <x:v>0</x:v>
      </x:c>
      <x:c r="D62" s="51" t="str">
        <x:v>Temperature records are kept for at least three years.</x:v>
      </x:c>
      <x:c r="E62" s="51" t="str"/>
      <x:c r="F62" s="51" t="n">
        <x:v>0</x:v>
      </x:c>
      <x:c r="G62" s="51" t="n">
        <x:v>0</x:v>
      </x:c>
      <x:c r="H62" s="51" t="n">
        <x:v>0</x:v>
      </x:c>
      <x:c r="I62" s="51" t="str">
        <x:v>Missing</x:v>
      </x:c>
      <x:c r="J62" s="51" t="n">
        <x:v>0</x:v>
      </x:c>
      <x:c r="K62" s="51" t="n">
        <x:v>0</x:v>
      </x:c>
      <x:c r="L62" s="51" t="n">
        <x:f>MIN(100,IF(C62,20,0)+F62*45+G62*30+H62*15+IF(I62="CriticalBlocked",30,IF(I62="Blocked",20,IF(I62="Missing",20,IF(I62="Partial",10,0))))+J62*20+K62*10)</x:f>
        <x:v>20</x:v>
      </x:c>
      <x:c r="M62" s="51" t="str">
        <x:f>IF(L62&gt;=75,"Critical",IF(L62&gt;=50,"High",IF(L62&gt;=25,"Moderate","Low")))</x:f>
        <x:v>Low</x:v>
      </x:c>
      <x:c r="N62" s="51" t="str">
        <x:v>Unreviewed</x:v>
      </x:c>
      <x:c r="O62" s="51" t="str"/>
      <x:c r="P62" s="51" t="str"/>
      <x:c r="Q62" s="49"/>
      <x:c r="R62" s="49"/>
      <x:c r="S62" s="49"/>
      <x:c r="T62" s="49"/>
      <x:c r="U62" s="49"/>
      <x:c r="V62" s="49"/>
      <x:c r="W62" s="49"/>
      <x:c r="X62" s="49"/>
      <x:c r="Y62" s="49"/>
      <x:c r="Z62" s="49"/>
    </x:row>
    <x:row r="63">
      <x:c r="A63" s="51" t="str">
        <x:v>MM.11.11</x:v>
      </x:c>
      <x:c r="B63" s="51" t="str">
        <x:v>MM.11</x:v>
      </x:c>
      <x:c r="C63" s="59" t="b">
        <x:v>0</x:v>
      </x:c>
      <x:c r="D63" s="51" t="str">
        <x:v>All antiseptics, disinfectants, and medications for external use are stored separately from enteral and injectable medications.</x:v>
      </x:c>
      <x:c r="E63" s="51" t="str"/>
      <x:c r="F63" s="51" t="n">
        <x:v>0</x:v>
      </x:c>
      <x:c r="G63" s="51" t="n">
        <x:v>0</x:v>
      </x:c>
      <x:c r="H63" s="51" t="n">
        <x:v>0</x:v>
      </x:c>
      <x:c r="I63" s="51" t="str">
        <x:v>Missing</x:v>
      </x:c>
      <x:c r="J63" s="51" t="n">
        <x:v>0</x:v>
      </x:c>
      <x:c r="K63" s="51" t="n">
        <x:v>0</x:v>
      </x:c>
      <x:c r="L63" s="51" t="n">
        <x:f>MIN(100,IF(C63,20,0)+F63*45+G63*30+H63*15+IF(I63="CriticalBlocked",30,IF(I63="Blocked",20,IF(I63="Missing",20,IF(I63="Partial",10,0))))+J63*20+K63*10)</x:f>
        <x:v>20</x:v>
      </x:c>
      <x:c r="M63" s="51" t="str">
        <x:f>IF(L63&gt;=75,"Critical",IF(L63&gt;=50,"High",IF(L63&gt;=25,"Moderate","Low")))</x:f>
        <x:v>Low</x:v>
      </x:c>
      <x:c r="N63" s="51" t="str">
        <x:v>Unreviewed</x:v>
      </x:c>
      <x:c r="O63" s="51" t="str"/>
      <x:c r="P63" s="51" t="str"/>
      <x:c r="Q63" s="49"/>
      <x:c r="R63" s="49"/>
      <x:c r="S63" s="49"/>
      <x:c r="T63" s="49"/>
      <x:c r="U63" s="49"/>
      <x:c r="V63" s="49"/>
      <x:c r="W63" s="49"/>
      <x:c r="X63" s="49"/>
      <x:c r="Y63" s="49"/>
      <x:c r="Z63" s="49"/>
    </x:row>
    <x:row r="64">
      <x:c r="A64" s="51" t="str">
        <x:v>MM.11.12</x:v>
      </x:c>
      <x:c r="B64" s="51" t="str">
        <x:v>MM.11</x:v>
      </x:c>
      <x:c r="C64" s="59" t="b">
        <x:v>0</x:v>
      </x:c>
      <x:c r="D64" s="51" t="str">
        <x:v>The “first expiry/ first out” (FEFO) principle is followed.</x:v>
      </x:c>
      <x:c r="E64" s="51" t="str"/>
      <x:c r="F64" s="51" t="n">
        <x:v>0</x:v>
      </x:c>
      <x:c r="G64" s="51" t="n">
        <x:v>0</x:v>
      </x:c>
      <x:c r="H64" s="51" t="n">
        <x:v>0</x:v>
      </x:c>
      <x:c r="I64" s="51" t="str">
        <x:v>Missing</x:v>
      </x:c>
      <x:c r="J64" s="51" t="n">
        <x:v>0</x:v>
      </x:c>
      <x:c r="K64" s="51" t="n">
        <x:v>0</x:v>
      </x:c>
      <x:c r="L64" s="51" t="n">
        <x:f>MIN(100,IF(C64,20,0)+F64*45+G64*30+H64*15+IF(I64="CriticalBlocked",30,IF(I64="Blocked",20,IF(I64="Missing",20,IF(I64="Partial",10,0))))+J64*20+K64*10)</x:f>
        <x:v>20</x:v>
      </x:c>
      <x:c r="M64" s="51" t="str">
        <x:f>IF(L64&gt;=75,"Critical",IF(L64&gt;=50,"High",IF(L64&gt;=25,"Moderate","Low")))</x:f>
        <x:v>Low</x:v>
      </x:c>
      <x:c r="N64" s="51" t="str">
        <x:v>Unreviewed</x:v>
      </x:c>
      <x:c r="O64" s="51" t="str"/>
      <x:c r="P64" s="51" t="str"/>
      <x:c r="Q64" s="49"/>
      <x:c r="R64" s="49"/>
      <x:c r="S64" s="49"/>
      <x:c r="T64" s="49"/>
      <x:c r="U64" s="49"/>
      <x:c r="V64" s="49"/>
      <x:c r="W64" s="49"/>
      <x:c r="X64" s="49"/>
      <x:c r="Y64" s="49"/>
      <x:c r="Z64" s="49"/>
    </x:row>
    <x:row r="65">
      <x:c r="A65" s="51" t="str">
        <x:v>MM.11.13</x:v>
      </x:c>
      <x:c r="B65" s="51" t="str">
        <x:v>MM.11</x:v>
      </x:c>
      <x:c r="C65" s="59" t="b">
        <x:v>0</x:v>
      </x:c>
      <x:c r="D65" s="51" t="str">
        <x:v>All medication storage areas are inspected at least monthly by the pharmaceutical care according to the hospital policy to ensure proper storage of medications. Inspection includes, but is not limited to: availability, stock level, expiry date, and storage conditions</x:v>
      </x:c>
      <x:c r="E65" s="51" t="str"/>
      <x:c r="F65" s="51" t="n">
        <x:v>0</x:v>
      </x:c>
      <x:c r="G65" s="51" t="n">
        <x:v>0</x:v>
      </x:c>
      <x:c r="H65" s="51" t="n">
        <x:v>0</x:v>
      </x:c>
      <x:c r="I65" s="51" t="str">
        <x:v>Missing</x:v>
      </x:c>
      <x:c r="J65" s="51" t="n">
        <x:v>0</x:v>
      </x:c>
      <x:c r="K65" s="51" t="n">
        <x:v>0</x:v>
      </x:c>
      <x:c r="L65" s="51" t="n">
        <x:f>MIN(100,IF(C65,20,0)+F65*45+G65*30+H65*15+IF(I65="CriticalBlocked",30,IF(I65="Blocked",20,IF(I65="Missing",20,IF(I65="Partial",10,0))))+J65*20+K65*10)</x:f>
        <x:v>20</x:v>
      </x:c>
      <x:c r="M65" s="51" t="str">
        <x:f>IF(L65&gt;=75,"Critical",IF(L65&gt;=50,"High",IF(L65&gt;=25,"Moderate","Low")))</x:f>
        <x:v>Low</x:v>
      </x:c>
      <x:c r="N65" s="51" t="str">
        <x:v>Unreviewed</x:v>
      </x:c>
      <x:c r="O65" s="51" t="str"/>
      <x:c r="P65" s="51" t="str"/>
      <x:c r="Q65" s="49"/>
      <x:c r="R65" s="49"/>
      <x:c r="S65" s="49"/>
      <x:c r="T65" s="49"/>
      <x:c r="U65" s="49"/>
      <x:c r="V65" s="49"/>
      <x:c r="W65" s="49"/>
      <x:c r="X65" s="49"/>
      <x:c r="Y65" s="49"/>
      <x:c r="Z65" s="49"/>
    </x:row>
    <x:row r="66">
      <x:c r="A66" s="51" t="str">
        <x:v>MM.11.14</x:v>
      </x:c>
      <x:c r="B66" s="51" t="str">
        <x:v>MM.11</x:v>
      </x:c>
      <x:c r="C66" s="59" t="b">
        <x:v>0</x:v>
      </x:c>
      <x:c r="D66" s="51" t="str">
        <x:v>Expired and damaged medications are clearly labeled and separated from other drugs until its removal and proper destruction.</x:v>
      </x:c>
      <x:c r="E66" s="51" t="str"/>
      <x:c r="F66" s="51" t="n">
        <x:v>0</x:v>
      </x:c>
      <x:c r="G66" s="51" t="n">
        <x:v>0</x:v>
      </x:c>
      <x:c r="H66" s="51" t="n">
        <x:v>0</x:v>
      </x:c>
      <x:c r="I66" s="51" t="str">
        <x:v>Missing</x:v>
      </x:c>
      <x:c r="J66" s="51" t="n">
        <x:v>0</x:v>
      </x:c>
      <x:c r="K66" s="51" t="n">
        <x:v>0</x:v>
      </x:c>
      <x:c r="L66" s="51" t="n">
        <x:f>MIN(100,IF(C66,20,0)+F66*45+G66*30+H66*15+IF(I66="CriticalBlocked",30,IF(I66="Blocked",20,IF(I66="Missing",20,IF(I66="Partial",10,0))))+J66*20+K66*10)</x:f>
        <x:v>20</x:v>
      </x:c>
      <x:c r="M66" s="51" t="str">
        <x:f>IF(L66&gt;=75,"Critical",IF(L66&gt;=50,"High",IF(L66&gt;=25,"Moderate","Low")))</x:f>
        <x:v>Low</x:v>
      </x:c>
      <x:c r="N66" s="51" t="str">
        <x:v>Unreviewed</x:v>
      </x:c>
      <x:c r="O66" s="51" t="str"/>
      <x:c r="P66" s="51" t="str"/>
      <x:c r="Q66" s="49"/>
      <x:c r="R66" s="49"/>
      <x:c r="S66" s="49"/>
      <x:c r="T66" s="49"/>
      <x:c r="U66" s="49"/>
      <x:c r="V66" s="49"/>
      <x:c r="W66" s="49"/>
      <x:c r="X66" s="49"/>
      <x:c r="Y66" s="49"/>
      <x:c r="Z66" s="49"/>
    </x:row>
    <x:row r="67">
      <x:c r="A67" s="51" t="str">
        <x:v>MM.11.15</x:v>
      </x:c>
      <x:c r="B67" s="51" t="str">
        <x:v>MM.11</x:v>
      </x:c>
      <x:c r="C67" s="59" t="b">
        <x:v>0</x:v>
      </x:c>
      <x:c r="D67" s="51" t="str">
        <x:v>Medication quality issues are reported to the Saudi FDA, as required.</x:v>
      </x:c>
      <x:c r="E67" s="51" t="str"/>
      <x:c r="F67" s="51" t="n">
        <x:v>0</x:v>
      </x:c>
      <x:c r="G67" s="51" t="n">
        <x:v>0</x:v>
      </x:c>
      <x:c r="H67" s="51" t="n">
        <x:v>0</x:v>
      </x:c>
      <x:c r="I67" s="51" t="str">
        <x:v>Missing</x:v>
      </x:c>
      <x:c r="J67" s="51" t="n">
        <x:v>0</x:v>
      </x:c>
      <x:c r="K67" s="51" t="n">
        <x:v>0</x:v>
      </x:c>
      <x:c r="L67" s="51" t="n">
        <x:f>MIN(100,IF(C67,20,0)+F67*45+G67*30+H67*15+IF(I67="CriticalBlocked",30,IF(I67="Blocked",20,IF(I67="Missing",20,IF(I67="Partial",10,0))))+J67*20+K67*10)</x:f>
        <x:v>20</x:v>
      </x:c>
      <x:c r="M67" s="51" t="str">
        <x:f>IF(L67&gt;=75,"Critical",IF(L67&gt;=50,"High",IF(L67&gt;=25,"Moderate","Low")))</x:f>
        <x:v>Low</x:v>
      </x:c>
      <x:c r="N67" s="51" t="str">
        <x:v>Unreviewed</x:v>
      </x:c>
      <x:c r="O67" s="51" t="str"/>
      <x:c r="P67" s="51" t="str"/>
      <x:c r="Q67" s="49"/>
      <x:c r="R67" s="49"/>
      <x:c r="S67" s="49"/>
      <x:c r="T67" s="49"/>
      <x:c r="U67" s="49"/>
      <x:c r="V67" s="49"/>
      <x:c r="W67" s="49"/>
      <x:c r="X67" s="49"/>
      <x:c r="Y67" s="49"/>
      <x:c r="Z67" s="49"/>
    </x:row>
    <x:row r="68">
      <x:c r="A68" s="51" t="str">
        <x:v>MM.12.1</x:v>
      </x:c>
      <x:c r="B68" s="51" t="str">
        <x:v>MM.12</x:v>
      </x:c>
      <x:c r="C68" s="59" t="b">
        <x:v>0</x:v>
      </x:c>
      <x:c r="D68" s="51" t="str">
        <x:v>There is a policy and procedure on proper storage and control of refrigerated and frozen medications from the point of receipt until the point of administration.</x:v>
      </x:c>
      <x:c r="E68" s="51" t="str"/>
      <x:c r="F68" s="51" t="n">
        <x:v>0</x:v>
      </x:c>
      <x:c r="G68" s="51" t="n">
        <x:v>0</x:v>
      </x:c>
      <x:c r="H68" s="51" t="n">
        <x:v>0</x:v>
      </x:c>
      <x:c r="I68" s="51" t="str">
        <x:v>Missing</x:v>
      </x:c>
      <x:c r="J68" s="51" t="n">
        <x:v>0</x:v>
      </x:c>
      <x:c r="K68" s="51" t="n">
        <x:v>0</x:v>
      </x:c>
      <x:c r="L68" s="51" t="n">
        <x:f>MIN(100,IF(C68,20,0)+F68*45+G68*30+H68*15+IF(I68="CriticalBlocked",30,IF(I68="Blocked",20,IF(I68="Missing",20,IF(I68="Partial",10,0))))+J68*20+K68*10)</x:f>
        <x:v>20</x:v>
      </x:c>
      <x:c r="M68" s="51" t="str">
        <x:f>IF(L68&gt;=75,"Critical",IF(L68&gt;=50,"High",IF(L68&gt;=25,"Moderate","Low")))</x:f>
        <x:v>Low</x:v>
      </x:c>
      <x:c r="N68" s="51" t="str">
        <x:v>Unreviewed</x:v>
      </x:c>
      <x:c r="O68" s="51" t="str"/>
      <x:c r="P68" s="51" t="str"/>
      <x:c r="Q68" s="49"/>
      <x:c r="R68" s="49"/>
      <x:c r="S68" s="49"/>
      <x:c r="T68" s="49"/>
      <x:c r="U68" s="49"/>
      <x:c r="V68" s="49"/>
      <x:c r="W68" s="49"/>
      <x:c r="X68" s="49"/>
      <x:c r="Y68" s="49"/>
      <x:c r="Z68" s="49"/>
    </x:row>
    <x:row r="69">
      <x:c r="A69" s="51" t="str">
        <x:v>MM.12.2</x:v>
      </x:c>
      <x:c r="B69" s="51" t="str">
        <x:v>MM.12</x:v>
      </x:c>
      <x:c r="C69" s="59" t="b">
        <x:v>0</x:v>
      </x:c>
      <x:c r="D69" s="51" t="str">
        <x:v>There are medication refrigerators and freezers for storing refrigerated and frozen medications, biologicals and vaccines.</x:v>
      </x:c>
      <x:c r="E69" s="51" t="str"/>
      <x:c r="F69" s="51" t="n">
        <x:v>0</x:v>
      </x:c>
      <x:c r="G69" s="51" t="n">
        <x:v>0</x:v>
      </x:c>
      <x:c r="H69" s="51" t="n">
        <x:v>0</x:v>
      </x:c>
      <x:c r="I69" s="51" t="str">
        <x:v>Missing</x:v>
      </x:c>
      <x:c r="J69" s="51" t="n">
        <x:v>0</x:v>
      </x:c>
      <x:c r="K69" s="51" t="n">
        <x:v>0</x:v>
      </x:c>
      <x:c r="L69" s="51" t="n">
        <x:f>MIN(100,IF(C69,20,0)+F69*45+G69*30+H69*15+IF(I69="CriticalBlocked",30,IF(I69="Blocked",20,IF(I69="Missing",20,IF(I69="Partial",10,0))))+J69*20+K69*10)</x:f>
        <x:v>20</x:v>
      </x:c>
      <x:c r="M69" s="51" t="str">
        <x:f>IF(L69&gt;=75,"Critical",IF(L69&gt;=50,"High",IF(L69&gt;=25,"Moderate","Low")))</x:f>
        <x:v>Low</x:v>
      </x:c>
      <x:c r="N69" s="51" t="str">
        <x:v>Unreviewed</x:v>
      </x:c>
      <x:c r="O69" s="51" t="str"/>
      <x:c r="P69" s="51" t="str"/>
      <x:c r="Q69" s="49"/>
      <x:c r="R69" s="49"/>
      <x:c r="S69" s="49"/>
      <x:c r="T69" s="49"/>
      <x:c r="U69" s="49"/>
      <x:c r="V69" s="49"/>
      <x:c r="W69" s="49"/>
      <x:c r="X69" s="49"/>
      <x:c r="Y69" s="49"/>
      <x:c r="Z69" s="49"/>
    </x:row>
    <x:row r="70">
      <x:c r="A70" s="51" t="str">
        <x:v>MM.12.3</x:v>
      </x:c>
      <x:c r="B70" s="51" t="str">
        <x:v>MM.12</x:v>
      </x:c>
      <x:c r="C70" s="59" t="b">
        <x:v>0</x:v>
      </x:c>
      <x:c r="D70" s="51" t="str">
        <x:v>All medication refrigerators and freezers are equipped with appropriate thermometers or equivalent device for temperature recording.</x:v>
      </x:c>
      <x:c r="E70" s="51" t="str"/>
      <x:c r="F70" s="51" t="n">
        <x:v>0</x:v>
      </x:c>
      <x:c r="G70" s="51" t="n">
        <x:v>0</x:v>
      </x:c>
      <x:c r="H70" s="51" t="n">
        <x:v>0</x:v>
      </x:c>
      <x:c r="I70" s="51" t="str">
        <x:v>Missing</x:v>
      </x:c>
      <x:c r="J70" s="51" t="n">
        <x:v>0</x:v>
      </x:c>
      <x:c r="K70" s="51" t="n">
        <x:v>0</x:v>
      </x:c>
      <x:c r="L70" s="51" t="n">
        <x:f>MIN(100,IF(C70,20,0)+F70*45+G70*30+H70*15+IF(I70="CriticalBlocked",30,IF(I70="Blocked",20,IF(I70="Missing",20,IF(I70="Partial",10,0))))+J70*20+K70*10)</x:f>
        <x:v>20</x:v>
      </x:c>
      <x:c r="M70" s="51" t="str">
        <x:f>IF(L70&gt;=75,"Critical",IF(L70&gt;=50,"High",IF(L70&gt;=25,"Moderate","Low")))</x:f>
        <x:v>Low</x:v>
      </x:c>
      <x:c r="N70" s="51" t="str">
        <x:v>Unreviewed</x:v>
      </x:c>
      <x:c r="O70" s="51" t="str"/>
      <x:c r="P70" s="51" t="str"/>
      <x:c r="Q70" s="49"/>
      <x:c r="R70" s="49"/>
      <x:c r="S70" s="49"/>
      <x:c r="T70" s="49"/>
      <x:c r="U70" s="49"/>
      <x:c r="V70" s="49"/>
      <x:c r="W70" s="49"/>
      <x:c r="X70" s="49"/>
      <x:c r="Y70" s="49"/>
      <x:c r="Z70" s="49"/>
    </x:row>
    <x:row r="71">
      <x:c r="A71" s="51" t="str">
        <x:v>MM.12.4</x:v>
      </x:c>
      <x:c r="B71" s="51" t="str">
        <x:v>MM.12</x:v>
      </x:c>
      <x:c r="C71" s="59" t="b">
        <x:v>0</x:v>
      </x:c>
      <x:c r="D71" s="51" t="str">
        <x:v>The refrigerators’ temperature is checked and documented at least once daily on the temperature log sheet.</x:v>
      </x:c>
      <x:c r="E71" s="51" t="str"/>
      <x:c r="F71" s="51" t="n">
        <x:v>0</x:v>
      </x:c>
      <x:c r="G71" s="51" t="n">
        <x:v>0</x:v>
      </x:c>
      <x:c r="H71" s="51" t="n">
        <x:v>0</x:v>
      </x:c>
      <x:c r="I71" s="51" t="str">
        <x:v>Missing</x:v>
      </x:c>
      <x:c r="J71" s="51" t="n">
        <x:v>0</x:v>
      </x:c>
      <x:c r="K71" s="51" t="n">
        <x:v>0</x:v>
      </x:c>
      <x:c r="L71" s="51" t="n">
        <x:f>MIN(100,IF(C71,20,0)+F71*45+G71*30+H71*15+IF(I71="CriticalBlocked",30,IF(I71="Blocked",20,IF(I71="Missing",20,IF(I71="Partial",10,0))))+J71*20+K71*10)</x:f>
        <x:v>20</x:v>
      </x:c>
      <x:c r="M71" s="51" t="str">
        <x:f>IF(L71&gt;=75,"Critical",IF(L71&gt;=50,"High",IF(L71&gt;=25,"Moderate","Low")))</x:f>
        <x:v>Low</x:v>
      </x:c>
      <x:c r="N71" s="51" t="str">
        <x:v>Unreviewed</x:v>
      </x:c>
      <x:c r="O71" s="51" t="str"/>
      <x:c r="P71" s="51" t="str"/>
      <x:c r="Q71" s="49"/>
      <x:c r="R71" s="49"/>
      <x:c r="S71" s="49"/>
      <x:c r="T71" s="49"/>
      <x:c r="U71" s="49"/>
      <x:c r="V71" s="49"/>
      <x:c r="W71" s="49"/>
      <x:c r="X71" s="49"/>
      <x:c r="Y71" s="49"/>
      <x:c r="Z71" s="49"/>
    </x:row>
    <x:row r="72">
      <x:c r="A72" s="51" t="str">
        <x:v>MM.12.5</x:v>
      </x:c>
      <x:c r="B72" s="51" t="str">
        <x:v>MM.12</x:v>
      </x:c>
      <x:c r="C72" s="59" t="b">
        <x:v>0</x:v>
      </x:c>
      <x:c r="D72" s="51" t="str">
        <x:v>The refrigerator’s temperature is kept between (2- 8°C).</x:v>
      </x:c>
      <x:c r="E72" s="51" t="str"/>
      <x:c r="F72" s="51" t="n">
        <x:v>0</x:v>
      </x:c>
      <x:c r="G72" s="51" t="n">
        <x:v>0</x:v>
      </x:c>
      <x:c r="H72" s="51" t="n">
        <x:v>0</x:v>
      </x:c>
      <x:c r="I72" s="51" t="str">
        <x:v>Missing</x:v>
      </x:c>
      <x:c r="J72" s="51" t="n">
        <x:v>0</x:v>
      </x:c>
      <x:c r="K72" s="51" t="n">
        <x:v>0</x:v>
      </x:c>
      <x:c r="L72" s="51" t="n">
        <x:f>MIN(100,IF(C72,20,0)+F72*45+G72*30+H72*15+IF(I72="CriticalBlocked",30,IF(I72="Blocked",20,IF(I72="Missing",20,IF(I72="Partial",10,0))))+J72*20+K72*10)</x:f>
        <x:v>20</x:v>
      </x:c>
      <x:c r="M72" s="51" t="str">
        <x:f>IF(L72&gt;=75,"Critical",IF(L72&gt;=50,"High",IF(L72&gt;=25,"Moderate","Low")))</x:f>
        <x:v>Low</x:v>
      </x:c>
      <x:c r="N72" s="51" t="str">
        <x:v>Unreviewed</x:v>
      </x:c>
      <x:c r="O72" s="51" t="str"/>
      <x:c r="P72" s="51" t="str"/>
      <x:c r="Q72" s="49"/>
      <x:c r="R72" s="49"/>
      <x:c r="S72" s="49"/>
      <x:c r="T72" s="49"/>
      <x:c r="U72" s="49"/>
      <x:c r="V72" s="49"/>
      <x:c r="W72" s="49"/>
      <x:c r="X72" s="49"/>
      <x:c r="Y72" s="49"/>
      <x:c r="Z72" s="49"/>
    </x:row>
    <x:row r="73">
      <x:c r="A73" s="51" t="str">
        <x:v>MM.12.6</x:v>
      </x:c>
      <x:c r="B73" s="51" t="str">
        <x:v>MM.12</x:v>
      </x:c>
      <x:c r="C73" s="59" t="b">
        <x:v>0</x:v>
      </x:c>
      <x:c r="D73" s="51" t="str">
        <x:v>The freezer’s temperature is kept between (-10 and -25°C).</x:v>
      </x:c>
      <x:c r="E73" s="51" t="str"/>
      <x:c r="F73" s="51" t="n">
        <x:v>0</x:v>
      </x:c>
      <x:c r="G73" s="51" t="n">
        <x:v>0</x:v>
      </x:c>
      <x:c r="H73" s="51" t="n">
        <x:v>0</x:v>
      </x:c>
      <x:c r="I73" s="51" t="str">
        <x:v>Missing</x:v>
      </x:c>
      <x:c r="J73" s="51" t="n">
        <x:v>0</x:v>
      </x:c>
      <x:c r="K73" s="51" t="n">
        <x:v>0</x:v>
      </x:c>
      <x:c r="L73" s="51" t="n">
        <x:f>MIN(100,IF(C73,20,0)+F73*45+G73*30+H73*15+IF(I73="CriticalBlocked",30,IF(I73="Blocked",20,IF(I73="Missing",20,IF(I73="Partial",10,0))))+J73*20+K73*10)</x:f>
        <x:v>20</x:v>
      </x:c>
      <x:c r="M73" s="51" t="str">
        <x:f>IF(L73&gt;=75,"Critical",IF(L73&gt;=50,"High",IF(L73&gt;=25,"Moderate","Low")))</x:f>
        <x:v>Low</x:v>
      </x:c>
      <x:c r="N73" s="51" t="str">
        <x:v>Unreviewed</x:v>
      </x:c>
      <x:c r="O73" s="51" t="str"/>
      <x:c r="P73" s="51" t="str"/>
      <x:c r="Q73" s="49"/>
      <x:c r="R73" s="49"/>
      <x:c r="S73" s="49"/>
      <x:c r="T73" s="49"/>
      <x:c r="U73" s="49"/>
      <x:c r="V73" s="49"/>
      <x:c r="W73" s="49"/>
      <x:c r="X73" s="49"/>
      <x:c r="Y73" s="49"/>
      <x:c r="Z73" s="49"/>
    </x:row>
    <x:row r="74">
      <x:c r="A74" s="51" t="str">
        <x:v>MM.12.7</x:v>
      </x:c>
      <x:c r="B74" s="51" t="str">
        <x:v>MM.12</x:v>
      </x:c>
      <x:c r="C74" s="59" t="b">
        <x:v>0</x:v>
      </x:c>
      <x:c r="D74" s="51" t="str">
        <x:v>All vaccine refrigerators are connected to emergency power source and electric outlets are marked accordingly</x:v>
      </x:c>
      <x:c r="E74" s="51" t="str"/>
      <x:c r="F74" s="51" t="n">
        <x:v>0</x:v>
      </x:c>
      <x:c r="G74" s="51" t="n">
        <x:v>0</x:v>
      </x:c>
      <x:c r="H74" s="51" t="n">
        <x:v>0</x:v>
      </x:c>
      <x:c r="I74" s="51" t="str">
        <x:v>Missing</x:v>
      </x:c>
      <x:c r="J74" s="51" t="n">
        <x:v>0</x:v>
      </x:c>
      <x:c r="K74" s="51" t="n">
        <x:v>0</x:v>
      </x:c>
      <x:c r="L74" s="51" t="n">
        <x:f>MIN(100,IF(C74,20,0)+F74*45+G74*30+H74*15+IF(I74="CriticalBlocked",30,IF(I74="Blocked",20,IF(I74="Missing",20,IF(I74="Partial",10,0))))+J74*20+K74*10)</x:f>
        <x:v>20</x:v>
      </x:c>
      <x:c r="M74" s="51" t="str">
        <x:f>IF(L74&gt;=75,"Critical",IF(L74&gt;=50,"High",IF(L74&gt;=25,"Moderate","Low")))</x:f>
        <x:v>Low</x:v>
      </x:c>
      <x:c r="N74" s="51" t="str">
        <x:v>Unreviewed</x:v>
      </x:c>
      <x:c r="O74" s="51" t="str"/>
      <x:c r="P74" s="51" t="str"/>
      <x:c r="Q74" s="49"/>
      <x:c r="R74" s="49"/>
      <x:c r="S74" s="49"/>
      <x:c r="T74" s="49"/>
      <x:c r="U74" s="49"/>
      <x:c r="V74" s="49"/>
      <x:c r="W74" s="49"/>
      <x:c r="X74" s="49"/>
      <x:c r="Y74" s="49"/>
      <x:c r="Z74" s="49"/>
    </x:row>
    <x:row r="75">
      <x:c r="A75" s="51" t="str">
        <x:v>MM.12.8</x:v>
      </x:c>
      <x:c r="B75" s="51" t="str">
        <x:v>MM.12</x:v>
      </x:c>
      <x:c r="C75" s="59" t="b">
        <x:v>0</x:v>
      </x:c>
      <x:c r="D75" s="51" t="str">
        <x:v>Vaccine refrigerator’s temperature is continuously recorded around the clock or an equivalent process is in place to monitor temperature around the clock.</x:v>
      </x:c>
      <x:c r="E75" s="51" t="str"/>
      <x:c r="F75" s="51" t="n">
        <x:v>0</x:v>
      </x:c>
      <x:c r="G75" s="51" t="n">
        <x:v>0</x:v>
      </x:c>
      <x:c r="H75" s="51" t="n">
        <x:v>0</x:v>
      </x:c>
      <x:c r="I75" s="51" t="str">
        <x:v>Missing</x:v>
      </x:c>
      <x:c r="J75" s="51" t="n">
        <x:v>0</x:v>
      </x:c>
      <x:c r="K75" s="51" t="n">
        <x:v>0</x:v>
      </x:c>
      <x:c r="L75" s="51" t="n">
        <x:f>MIN(100,IF(C75,20,0)+F75*45+G75*30+H75*15+IF(I75="CriticalBlocked",30,IF(I75="Blocked",20,IF(I75="Missing",20,IF(I75="Partial",10,0))))+J75*20+K75*10)</x:f>
        <x:v>20</x:v>
      </x:c>
      <x:c r="M75" s="51" t="str">
        <x:f>IF(L75&gt;=75,"Critical",IF(L75&gt;=50,"High",IF(L75&gt;=25,"Moderate","Low")))</x:f>
        <x:v>Low</x:v>
      </x:c>
      <x:c r="N75" s="51" t="str">
        <x:v>Unreviewed</x:v>
      </x:c>
      <x:c r="O75" s="51" t="str"/>
      <x:c r="P75" s="51" t="str"/>
      <x:c r="Q75" s="49"/>
      <x:c r="R75" s="49"/>
      <x:c r="S75" s="49"/>
      <x:c r="T75" s="49"/>
      <x:c r="U75" s="49"/>
      <x:c r="V75" s="49"/>
      <x:c r="W75" s="49"/>
      <x:c r="X75" s="49"/>
      <x:c r="Y75" s="49"/>
      <x:c r="Z75" s="49"/>
    </x:row>
    <x:row r="76">
      <x:c r="A76" s="51" t="str">
        <x:v>MM.12.9</x:v>
      </x:c>
      <x:c r="B76" s="51" t="str">
        <x:v>MM.12</x:v>
      </x:c>
      <x:c r="C76" s="59" t="b">
        <x:v>0</x:v>
      </x:c>
      <x:c r="D76" s="51" t="str">
        <x:v>Temperature records are kept for at least three years.</x:v>
      </x:c>
      <x:c r="E76" s="51" t="str"/>
      <x:c r="F76" s="51" t="n">
        <x:v>0</x:v>
      </x:c>
      <x:c r="G76" s="51" t="n">
        <x:v>0</x:v>
      </x:c>
      <x:c r="H76" s="51" t="n">
        <x:v>0</x:v>
      </x:c>
      <x:c r="I76" s="51" t="str">
        <x:v>Missing</x:v>
      </x:c>
      <x:c r="J76" s="51" t="n">
        <x:v>0</x:v>
      </x:c>
      <x:c r="K76" s="51" t="n">
        <x:v>0</x:v>
      </x:c>
      <x:c r="L76" s="51" t="n">
        <x:f>MIN(100,IF(C76,20,0)+F76*45+G76*30+H76*15+IF(I76="CriticalBlocked",30,IF(I76="Blocked",20,IF(I76="Missing",20,IF(I76="Partial",10,0))))+J76*20+K76*10)</x:f>
        <x:v>20</x:v>
      </x:c>
      <x:c r="M76" s="51" t="str">
        <x:f>IF(L76&gt;=75,"Critical",IF(L76&gt;=50,"High",IF(L76&gt;=25,"Moderate","Low")))</x:f>
        <x:v>Low</x:v>
      </x:c>
      <x:c r="N76" s="51" t="str">
        <x:v>Unreviewed</x:v>
      </x:c>
      <x:c r="O76" s="51" t="str"/>
      <x:c r="P76" s="51" t="str"/>
      <x:c r="Q76" s="49"/>
      <x:c r="R76" s="49"/>
      <x:c r="S76" s="49"/>
      <x:c r="T76" s="49"/>
      <x:c r="U76" s="49"/>
      <x:c r="V76" s="49"/>
      <x:c r="W76" s="49"/>
      <x:c r="X76" s="49"/>
      <x:c r="Y76" s="49"/>
      <x:c r="Z76" s="49"/>
    </x:row>
    <x:row r="77">
      <x:c r="A77" s="51" t="str">
        <x:v>MM.12.10</x:v>
      </x:c>
      <x:c r="B77" s="51" t="str">
        <x:v>MM.12</x:v>
      </x:c>
      <x:c r="C77" s="59" t="b">
        <x:v>0</x:v>
      </x:c>
      <x:c r="D77" s="51" t="str">
        <x:v>There is a clear and defined mechanism to deal with electric power outage or out- ofrange temperature of the medication refrigerators and freezers to ensure the integrity of the affected medications before its reuse.</x:v>
      </x:c>
      <x:c r="E77" s="51" t="str"/>
      <x:c r="F77" s="51" t="n">
        <x:v>0</x:v>
      </x:c>
      <x:c r="G77" s="51" t="n">
        <x:v>0</x:v>
      </x:c>
      <x:c r="H77" s="51" t="n">
        <x:v>0</x:v>
      </x:c>
      <x:c r="I77" s="51" t="str">
        <x:v>Missing</x:v>
      </x:c>
      <x:c r="J77" s="51" t="n">
        <x:v>0</x:v>
      </x:c>
      <x:c r="K77" s="51" t="n">
        <x:v>0</x:v>
      </x:c>
      <x:c r="L77" s="51" t="n">
        <x:f>MIN(100,IF(C77,20,0)+F77*45+G77*30+H77*15+IF(I77="CriticalBlocked",30,IF(I77="Blocked",20,IF(I77="Missing",20,IF(I77="Partial",10,0))))+J77*20+K77*10)</x:f>
        <x:v>20</x:v>
      </x:c>
      <x:c r="M77" s="51" t="str">
        <x:f>IF(L77&gt;=75,"Critical",IF(L77&gt;=50,"High",IF(L77&gt;=25,"Moderate","Low")))</x:f>
        <x:v>Low</x:v>
      </x:c>
      <x:c r="N77" s="51" t="str">
        <x:v>Unreviewed</x:v>
      </x:c>
      <x:c r="O77" s="51" t="str"/>
      <x:c r="P77" s="51" t="str"/>
      <x:c r="Q77" s="49"/>
      <x:c r="R77" s="49"/>
      <x:c r="S77" s="49"/>
      <x:c r="T77" s="49"/>
      <x:c r="U77" s="49"/>
      <x:c r="V77" s="49"/>
      <x:c r="W77" s="49"/>
      <x:c r="X77" s="49"/>
      <x:c r="Y77" s="49"/>
      <x:c r="Z77" s="49"/>
    </x:row>
    <x:row r="78">
      <x:c r="A78" s="51" t="str">
        <x:v>MM.12.11</x:v>
      </x:c>
      <x:c r="B78" s="51" t="str">
        <x:v>MM.12</x:v>
      </x:c>
      <x:c r="C78" s="59" t="b">
        <x:v>0</x:v>
      </x:c>
      <x:c r="D78" s="51" t="str">
        <x:v>Food, drinks, biological samples, and culture media are not allowed inside any medication refrigerator or freezer.</x:v>
      </x:c>
      <x:c r="E78" s="51" t="str"/>
      <x:c r="F78" s="51" t="n">
        <x:v>0</x:v>
      </x:c>
      <x:c r="G78" s="51" t="n">
        <x:v>0</x:v>
      </x:c>
      <x:c r="H78" s="51" t="n">
        <x:v>0</x:v>
      </x:c>
      <x:c r="I78" s="51" t="str">
        <x:v>Missing</x:v>
      </x:c>
      <x:c r="J78" s="51" t="n">
        <x:v>0</x:v>
      </x:c>
      <x:c r="K78" s="51" t="n">
        <x:v>0</x:v>
      </x:c>
      <x:c r="L78" s="51" t="n">
        <x:f>MIN(100,IF(C78,20,0)+F78*45+G78*30+H78*15+IF(I78="CriticalBlocked",30,IF(I78="Blocked",20,IF(I78="Missing",20,IF(I78="Partial",10,0))))+J78*20+K78*10)</x:f>
        <x:v>20</x:v>
      </x:c>
      <x:c r="M78" s="51" t="str">
        <x:f>IF(L78&gt;=75,"Critical",IF(L78&gt;=50,"High",IF(L78&gt;=25,"Moderate","Low")))</x:f>
        <x:v>Low</x:v>
      </x:c>
      <x:c r="N78" s="51" t="str">
        <x:v>Unreviewed</x:v>
      </x:c>
      <x:c r="O78" s="51" t="str"/>
      <x:c r="P78" s="51" t="str"/>
      <x:c r="Q78" s="49"/>
      <x:c r="R78" s="49"/>
      <x:c r="S78" s="49"/>
      <x:c r="T78" s="49"/>
      <x:c r="U78" s="49"/>
      <x:c r="V78" s="49"/>
      <x:c r="W78" s="49"/>
      <x:c r="X78" s="49"/>
      <x:c r="Y78" s="49"/>
      <x:c r="Z78" s="49"/>
    </x:row>
    <x:row r="79">
      <x:c r="A79" s="51" t="str">
        <x:v>MM.13.1</x:v>
      </x:c>
      <x:c r="B79" s="51" t="str">
        <x:v>MM.13</x:v>
      </x:c>
      <x:c r="C79" s="59" t="b">
        <x:v>0</x:v>
      </x:c>
      <x:c r="D79" s="51" t="str">
        <x:v>There is a written policy on proper storage and handling of hazardous medications and pharmaceutical chemicals.</x:v>
      </x:c>
      <x:c r="E79" s="51" t="str"/>
      <x:c r="F79" s="51" t="n">
        <x:v>0</x:v>
      </x:c>
      <x:c r="G79" s="51" t="n">
        <x:v>0</x:v>
      </x:c>
      <x:c r="H79" s="51" t="n">
        <x:v>0</x:v>
      </x:c>
      <x:c r="I79" s="51" t="str">
        <x:v>Missing</x:v>
      </x:c>
      <x:c r="J79" s="51" t="n">
        <x:v>0</x:v>
      </x:c>
      <x:c r="K79" s="51" t="n">
        <x:v>0</x:v>
      </x:c>
      <x:c r="L79" s="51" t="n">
        <x:f>MIN(100,IF(C79,20,0)+F79*45+G79*30+H79*15+IF(I79="CriticalBlocked",30,IF(I79="Blocked",20,IF(I79="Missing",20,IF(I79="Partial",10,0))))+J79*20+K79*10)</x:f>
        <x:v>20</x:v>
      </x:c>
      <x:c r="M79" s="51" t="str">
        <x:f>IF(L79&gt;=75,"Critical",IF(L79&gt;=50,"High",IF(L79&gt;=25,"Moderate","Low")))</x:f>
        <x:v>Low</x:v>
      </x:c>
      <x:c r="N79" s="51" t="str">
        <x:v>Unreviewed</x:v>
      </x:c>
      <x:c r="O79" s="51" t="str"/>
      <x:c r="P79" s="51" t="str"/>
      <x:c r="Q79" s="49"/>
      <x:c r="R79" s="49"/>
      <x:c r="S79" s="49"/>
      <x:c r="T79" s="49"/>
      <x:c r="U79" s="49"/>
      <x:c r="V79" s="49"/>
      <x:c r="W79" s="49"/>
      <x:c r="X79" s="49"/>
      <x:c r="Y79" s="49"/>
      <x:c r="Z79" s="49"/>
    </x:row>
    <x:row r="80">
      <x:c r="A80" s="51" t="str">
        <x:v>MM.13.2</x:v>
      </x:c>
      <x:c r="B80" s="51" t="str">
        <x:v>MM.13</x:v>
      </x:c>
      <x:c r="C80" s="59" t="b">
        <x:v>0</x:v>
      </x:c>
      <x:c r="D80" s="51" t="str">
        <x:v>The hospital has a list of hazardous medications and pharmaceutical chemicals in areas where they are stored or used.</x:v>
      </x:c>
      <x:c r="E80" s="51" t="str"/>
      <x:c r="F80" s="51" t="n">
        <x:v>0</x:v>
      </x:c>
      <x:c r="G80" s="51" t="n">
        <x:v>0</x:v>
      </x:c>
      <x:c r="H80" s="51" t="n">
        <x:v>0</x:v>
      </x:c>
      <x:c r="I80" s="51" t="str">
        <x:v>Missing</x:v>
      </x:c>
      <x:c r="J80" s="51" t="n">
        <x:v>0</x:v>
      </x:c>
      <x:c r="K80" s="51" t="n">
        <x:v>0</x:v>
      </x:c>
      <x:c r="L80" s="51" t="n">
        <x:f>MIN(100,IF(C80,20,0)+F80*45+G80*30+H80*15+IF(I80="CriticalBlocked",30,IF(I80="Blocked",20,IF(I80="Missing",20,IF(I80="Partial",10,0))))+J80*20+K80*10)</x:f>
        <x:v>20</x:v>
      </x:c>
      <x:c r="M80" s="51" t="str">
        <x:f>IF(L80&gt;=75,"Critical",IF(L80&gt;=50,"High",IF(L80&gt;=25,"Moderate","Low")))</x:f>
        <x:v>Low</x:v>
      </x:c>
      <x:c r="N80" s="51" t="str">
        <x:v>Unreviewed</x:v>
      </x:c>
      <x:c r="O80" s="51" t="str"/>
      <x:c r="P80" s="51" t="str"/>
      <x:c r="Q80" s="49"/>
      <x:c r="R80" s="49"/>
      <x:c r="S80" s="49"/>
      <x:c r="T80" s="49"/>
      <x:c r="U80" s="49"/>
      <x:c r="V80" s="49"/>
      <x:c r="W80" s="49"/>
      <x:c r="X80" s="49"/>
      <x:c r="Y80" s="49"/>
      <x:c r="Z80" s="49"/>
    </x:row>
    <x:row r="81">
      <x:c r="A81" s="51" t="str">
        <x:v>MM.13.3</x:v>
      </x:c>
      <x:c r="B81" s="51" t="str">
        <x:v>MM.13</x:v>
      </x:c>
      <x:c r="C81" s="59" t="b">
        <x:v>0</x:v>
      </x:c>
      <x:c r="D81" s="51" t="str">
        <x:v>Hazardous medications and pharmaceutical chemicals are stored separately on low shelves and in the original labeled containers.</x:v>
      </x:c>
      <x:c r="E81" s="51" t="str"/>
      <x:c r="F81" s="51" t="n">
        <x:v>0</x:v>
      </x:c>
      <x:c r="G81" s="51" t="n">
        <x:v>0</x:v>
      </x:c>
      <x:c r="H81" s="51" t="n">
        <x:v>0</x:v>
      </x:c>
      <x:c r="I81" s="51" t="str">
        <x:v>Missing</x:v>
      </x:c>
      <x:c r="J81" s="51" t="n">
        <x:v>0</x:v>
      </x:c>
      <x:c r="K81" s="51" t="n">
        <x:v>0</x:v>
      </x:c>
      <x:c r="L81" s="51" t="n">
        <x:f>MIN(100,IF(C81,20,0)+F81*45+G81*30+H81*15+IF(I81="CriticalBlocked",30,IF(I81="Blocked",20,IF(I81="Missing",20,IF(I81="Partial",10,0))))+J81*20+K81*10)</x:f>
        <x:v>20</x:v>
      </x:c>
      <x:c r="M81" s="51" t="str">
        <x:f>IF(L81&gt;=75,"Critical",IF(L81&gt;=50,"High",IF(L81&gt;=25,"Moderate","Low")))</x:f>
        <x:v>Low</x:v>
      </x:c>
      <x:c r="N81" s="51" t="str">
        <x:v>Unreviewed</x:v>
      </x:c>
      <x:c r="O81" s="51" t="str"/>
      <x:c r="P81" s="51" t="str"/>
      <x:c r="Q81" s="49"/>
      <x:c r="R81" s="49"/>
      <x:c r="S81" s="49"/>
      <x:c r="T81" s="49"/>
      <x:c r="U81" s="49"/>
      <x:c r="V81" s="49"/>
      <x:c r="W81" s="49"/>
      <x:c r="X81" s="49"/>
      <x:c r="Y81" s="49"/>
      <x:c r="Z81" s="49"/>
    </x:row>
    <x:row r="82">
      <x:c r="A82" s="51" t="str">
        <x:v>MM.13.4</x:v>
      </x:c>
      <x:c r="B82" s="51" t="str">
        <x:v>MM.13</x:v>
      </x:c>
      <x:c r="C82" s="59" t="b">
        <x:v>0</x:v>
      </x:c>
      <x:c r="D82" s="51" t="str">
        <x:v>Flammables and volatile substances are stored in appropriate safety cabinets in well ventilated areas.</x:v>
      </x:c>
      <x:c r="E82" s="51" t="str"/>
      <x:c r="F82" s="51" t="n">
        <x:v>0</x:v>
      </x:c>
      <x:c r="G82" s="51" t="n">
        <x:v>0</x:v>
      </x:c>
      <x:c r="H82" s="51" t="n">
        <x:v>0</x:v>
      </x:c>
      <x:c r="I82" s="51" t="str">
        <x:v>Missing</x:v>
      </x:c>
      <x:c r="J82" s="51" t="n">
        <x:v>0</x:v>
      </x:c>
      <x:c r="K82" s="51" t="n">
        <x:v>0</x:v>
      </x:c>
      <x:c r="L82" s="51" t="n">
        <x:f>MIN(100,IF(C82,20,0)+F82*45+G82*30+H82*15+IF(I82="CriticalBlocked",30,IF(I82="Blocked",20,IF(I82="Missing",20,IF(I82="Partial",10,0))))+J82*20+K82*10)</x:f>
        <x:v>20</x:v>
      </x:c>
      <x:c r="M82" s="51" t="str">
        <x:f>IF(L82&gt;=75,"Critical",IF(L82&gt;=50,"High",IF(L82&gt;=25,"Moderate","Low")))</x:f>
        <x:v>Low</x:v>
      </x:c>
      <x:c r="N82" s="51" t="str">
        <x:v>Unreviewed</x:v>
      </x:c>
      <x:c r="O82" s="51" t="str"/>
      <x:c r="P82" s="51" t="str"/>
      <x:c r="Q82" s="49"/>
      <x:c r="R82" s="49"/>
      <x:c r="S82" s="49"/>
      <x:c r="T82" s="49"/>
      <x:c r="U82" s="49"/>
      <x:c r="V82" s="49"/>
      <x:c r="W82" s="49"/>
      <x:c r="X82" s="49"/>
      <x:c r="Y82" s="49"/>
      <x:c r="Z82" s="49"/>
    </x:row>
    <x:row r="83">
      <x:c r="A83" s="51" t="str">
        <x:v>MM.13.5</x:v>
      </x:c>
      <x:c r="B83" s="51" t="str">
        <x:v>MM.13</x:v>
      </x:c>
      <x:c r="C83" s="59" t="b">
        <x:v>0</x:v>
      </x:c>
      <x:c r="D83" s="51" t="str">
        <x:v>Spill kits and personal protective equipment are readily available.</x:v>
      </x:c>
      <x:c r="E83" s="51" t="str"/>
      <x:c r="F83" s="51" t="n">
        <x:v>0</x:v>
      </x:c>
      <x:c r="G83" s="51" t="n">
        <x:v>0</x:v>
      </x:c>
      <x:c r="H83" s="51" t="n">
        <x:v>0</x:v>
      </x:c>
      <x:c r="I83" s="51" t="str">
        <x:v>Missing</x:v>
      </x:c>
      <x:c r="J83" s="51" t="n">
        <x:v>0</x:v>
      </x:c>
      <x:c r="K83" s="51" t="n">
        <x:v>0</x:v>
      </x:c>
      <x:c r="L83" s="51" t="n">
        <x:f>MIN(100,IF(C83,20,0)+F83*45+G83*30+H83*15+IF(I83="CriticalBlocked",30,IF(I83="Blocked",20,IF(I83="Missing",20,IF(I83="Partial",10,0))))+J83*20+K83*10)</x:f>
        <x:v>20</x:v>
      </x:c>
      <x:c r="M83" s="51" t="str">
        <x:f>IF(L83&gt;=75,"Critical",IF(L83&gt;=50,"High",IF(L83&gt;=25,"Moderate","Low")))</x:f>
        <x:v>Low</x:v>
      </x:c>
      <x:c r="N83" s="51" t="str">
        <x:v>Unreviewed</x:v>
      </x:c>
      <x:c r="O83" s="51" t="str"/>
      <x:c r="P83" s="51" t="str"/>
      <x:c r="Q83" s="49"/>
      <x:c r="R83" s="49"/>
      <x:c r="S83" s="49"/>
      <x:c r="T83" s="49"/>
      <x:c r="U83" s="49"/>
      <x:c r="V83" s="49"/>
      <x:c r="W83" s="49"/>
      <x:c r="X83" s="49"/>
      <x:c r="Y83" s="49"/>
      <x:c r="Z83" s="49"/>
    </x:row>
    <x:row r="84">
      <x:c r="A84" s="51" t="str">
        <x:v>MM.13.6</x:v>
      </x:c>
      <x:c r="B84" s="51" t="str">
        <x:v>MM.13</x:v>
      </x:c>
      <x:c r="C84" s="59" t="b">
        <x:v>0</x:v>
      </x:c>
      <x:c r="D84" s="51" t="str">
        <x:v>For staff involved in the handling of chemicals and hazardous medications (such as chemotherapeutic agents) who are attempting to conceive, pregnant, or breast feeding, a structured process is in place to review potential exposure risks and offer alternative work assignment.</x:v>
      </x:c>
      <x:c r="E84" s="51" t="str"/>
      <x:c r="F84" s="51" t="n">
        <x:v>0</x:v>
      </x:c>
      <x:c r="G84" s="51" t="n">
        <x:v>0</x:v>
      </x:c>
      <x:c r="H84" s="51" t="n">
        <x:v>0</x:v>
      </x:c>
      <x:c r="I84" s="51" t="str">
        <x:v>Missing</x:v>
      </x:c>
      <x:c r="J84" s="51" t="n">
        <x:v>0</x:v>
      </x:c>
      <x:c r="K84" s="51" t="n">
        <x:v>0</x:v>
      </x:c>
      <x:c r="L84" s="51" t="n">
        <x:f>MIN(100,IF(C84,20,0)+F84*45+G84*30+H84*15+IF(I84="CriticalBlocked",30,IF(I84="Blocked",20,IF(I84="Missing",20,IF(I84="Partial",10,0))))+J84*20+K84*10)</x:f>
        <x:v>20</x:v>
      </x:c>
      <x:c r="M84" s="51" t="str">
        <x:f>IF(L84&gt;=75,"Critical",IF(L84&gt;=50,"High",IF(L84&gt;=25,"Moderate","Low")))</x:f>
        <x:v>Low</x:v>
      </x:c>
      <x:c r="N84" s="51" t="str">
        <x:v>Unreviewed</x:v>
      </x:c>
      <x:c r="O84" s="51" t="str"/>
      <x:c r="P84" s="51" t="str"/>
      <x:c r="Q84" s="49"/>
      <x:c r="R84" s="49"/>
      <x:c r="S84" s="49"/>
      <x:c r="T84" s="49"/>
      <x:c r="U84" s="49"/>
      <x:c r="V84" s="49"/>
      <x:c r="W84" s="49"/>
      <x:c r="X84" s="49"/>
      <x:c r="Y84" s="49"/>
      <x:c r="Z84" s="49"/>
    </x:row>
    <x:row r="85">
      <x:c r="A85" s="51" t="str">
        <x:v>MM.13.7</x:v>
      </x:c>
      <x:c r="B85" s="51" t="str">
        <x:v>MM.13</x:v>
      </x:c>
      <x:c r="C85" s="59" t="b">
        <x:v>0</x:v>
      </x:c>
      <x:c r="D85" s="51" t="str">
        <x:v>Material safety data sheets (MSDS) for all available hazardous medications and pharmaceutical chemicals are available and accessible to staff.</x:v>
      </x:c>
      <x:c r="E85" s="51" t="str"/>
      <x:c r="F85" s="51" t="n">
        <x:v>0</x:v>
      </x:c>
      <x:c r="G85" s="51" t="n">
        <x:v>0</x:v>
      </x:c>
      <x:c r="H85" s="51" t="n">
        <x:v>0</x:v>
      </x:c>
      <x:c r="I85" s="51" t="str">
        <x:v>Missing</x:v>
      </x:c>
      <x:c r="J85" s="51" t="n">
        <x:v>0</x:v>
      </x:c>
      <x:c r="K85" s="51" t="n">
        <x:v>0</x:v>
      </x:c>
      <x:c r="L85" s="51" t="n">
        <x:f>MIN(100,IF(C85,20,0)+F85*45+G85*30+H85*15+IF(I85="CriticalBlocked",30,IF(I85="Blocked",20,IF(I85="Missing",20,IF(I85="Partial",10,0))))+J85*20+K85*10)</x:f>
        <x:v>20</x:v>
      </x:c>
      <x:c r="M85" s="51" t="str">
        <x:f>IF(L85&gt;=75,"Critical",IF(L85&gt;=50,"High",IF(L85&gt;=25,"Moderate","Low")))</x:f>
        <x:v>Low</x:v>
      </x:c>
      <x:c r="N85" s="51" t="str">
        <x:v>Unreviewed</x:v>
      </x:c>
      <x:c r="O85" s="51" t="str"/>
      <x:c r="P85" s="51" t="str"/>
      <x:c r="Q85" s="49"/>
      <x:c r="R85" s="49"/>
      <x:c r="S85" s="49"/>
      <x:c r="T85" s="49"/>
      <x:c r="U85" s="49"/>
      <x:c r="V85" s="49"/>
      <x:c r="W85" s="49"/>
      <x:c r="X85" s="49"/>
      <x:c r="Y85" s="49"/>
      <x:c r="Z85" s="49"/>
    </x:row>
    <x:row r="86">
      <x:c r="A86" s="51" t="str">
        <x:v>MM.13.8</x:v>
      </x:c>
      <x:c r="B86" s="51" t="str">
        <x:v>MM.13</x:v>
      </x:c>
      <x:c r="C86" s="59" t="b">
        <x:v>0</x:v>
      </x:c>
      <x:c r="D86" s="51" t="str">
        <x:v>Eye wash station and emergency water shower are available where hazardous medications and pharmaceutical chemicals are located.</x:v>
      </x:c>
      <x:c r="E86" s="51" t="str"/>
      <x:c r="F86" s="51" t="n">
        <x:v>0</x:v>
      </x:c>
      <x:c r="G86" s="51" t="n">
        <x:v>0</x:v>
      </x:c>
      <x:c r="H86" s="51" t="n">
        <x:v>0</x:v>
      </x:c>
      <x:c r="I86" s="51" t="str">
        <x:v>Missing</x:v>
      </x:c>
      <x:c r="J86" s="51" t="n">
        <x:v>0</x:v>
      </x:c>
      <x:c r="K86" s="51" t="n">
        <x:v>0</x:v>
      </x:c>
      <x:c r="L86" s="51" t="n">
        <x:f>MIN(100,IF(C86,20,0)+F86*45+G86*30+H86*15+IF(I86="CriticalBlocked",30,IF(I86="Blocked",20,IF(I86="Missing",20,IF(I86="Partial",10,0))))+J86*20+K86*10)</x:f>
        <x:v>20</x:v>
      </x:c>
      <x:c r="M86" s="51" t="str">
        <x:f>IF(L86&gt;=75,"Critical",IF(L86&gt;=50,"High",IF(L86&gt;=25,"Moderate","Low")))</x:f>
        <x:v>Low</x:v>
      </x:c>
      <x:c r="N86" s="51" t="str">
        <x:v>Unreviewed</x:v>
      </x:c>
      <x:c r="O86" s="51" t="str"/>
      <x:c r="P86" s="51" t="str"/>
      <x:c r="Q86" s="49"/>
      <x:c r="R86" s="49"/>
      <x:c r="S86" s="49"/>
      <x:c r="T86" s="49"/>
      <x:c r="U86" s="49"/>
      <x:c r="V86" s="49"/>
      <x:c r="W86" s="49"/>
      <x:c r="X86" s="49"/>
      <x:c r="Y86" s="49"/>
      <x:c r="Z86" s="49"/>
    </x:row>
    <x:row r="87">
      <x:c r="A87" s="51" t="str">
        <x:v>MM.13.9</x:v>
      </x:c>
      <x:c r="B87" s="51" t="str">
        <x:v>MM.13</x:v>
      </x:c>
      <x:c r="C87" s="59" t="b">
        <x:v>0</x:v>
      </x:c>
      <x:c r="D87" s="51" t="str">
        <x:v>The hospital staff are well educated on the proper storage and handling of hazardous medications and pharmaceutical chemicals and spill management.</x:v>
      </x:c>
      <x:c r="E87" s="51" t="str"/>
      <x:c r="F87" s="51" t="n">
        <x:v>0</x:v>
      </x:c>
      <x:c r="G87" s="51" t="n">
        <x:v>0</x:v>
      </x:c>
      <x:c r="H87" s="51" t="n">
        <x:v>0</x:v>
      </x:c>
      <x:c r="I87" s="51" t="str">
        <x:v>Missing</x:v>
      </x:c>
      <x:c r="J87" s="51" t="n">
        <x:v>0</x:v>
      </x:c>
      <x:c r="K87" s="51" t="n">
        <x:v>0</x:v>
      </x:c>
      <x:c r="L87" s="51" t="n">
        <x:f>MIN(100,IF(C87,20,0)+F87*45+G87*30+H87*15+IF(I87="CriticalBlocked",30,IF(I87="Blocked",20,IF(I87="Missing",20,IF(I87="Partial",10,0))))+J87*20+K87*10)</x:f>
        <x:v>20</x:v>
      </x:c>
      <x:c r="M87" s="51" t="str">
        <x:f>IF(L87&gt;=75,"Critical",IF(L87&gt;=50,"High",IF(L87&gt;=25,"Moderate","Low")))</x:f>
        <x:v>Low</x:v>
      </x:c>
      <x:c r="N87" s="51" t="str">
        <x:v>Unreviewed</x:v>
      </x:c>
      <x:c r="O87" s="51" t="str"/>
      <x:c r="P87" s="51" t="str"/>
      <x:c r="Q87" s="49"/>
      <x:c r="R87" s="49"/>
      <x:c r="S87" s="49"/>
      <x:c r="T87" s="49"/>
      <x:c r="U87" s="49"/>
      <x:c r="V87" s="49"/>
      <x:c r="W87" s="49"/>
      <x:c r="X87" s="49"/>
      <x:c r="Y87" s="49"/>
      <x:c r="Z87" s="49"/>
    </x:row>
    <x:row r="88">
      <x:c r="A88" s="51" t="str">
        <x:v>MM.14.1</x:v>
      </x:c>
      <x:c r="B88" s="51" t="str">
        <x:v>MM.14</x:v>
      </x:c>
      <x:c r="C88" s="59" t="b">
        <x:v>0</x:v>
      </x:c>
      <x:c r="D88" s="51" t="str">
        <x:v>The hospital develops and maintains a set of guidelines for ensuring stability of multidose vials, vaccines, multi- dose oral liquids, and other multi-dose medications (e.g., eye, ear, and nasal drops, creams, ointments, nebulization solutions).</x:v>
      </x:c>
      <x:c r="E88" s="51" t="str"/>
      <x:c r="F88" s="51" t="n">
        <x:v>0</x:v>
      </x:c>
      <x:c r="G88" s="51" t="n">
        <x:v>0</x:v>
      </x:c>
      <x:c r="H88" s="51" t="n">
        <x:v>0</x:v>
      </x:c>
      <x:c r="I88" s="51" t="str">
        <x:v>Missing</x:v>
      </x:c>
      <x:c r="J88" s="51" t="n">
        <x:v>0</x:v>
      </x:c>
      <x:c r="K88" s="51" t="n">
        <x:v>0</x:v>
      </x:c>
      <x:c r="L88" s="51" t="n">
        <x:f>MIN(100,IF(C88,20,0)+F88*45+G88*30+H88*15+IF(I88="CriticalBlocked",30,IF(I88="Blocked",20,IF(I88="Missing",20,IF(I88="Partial",10,0))))+J88*20+K88*10)</x:f>
        <x:v>20</x:v>
      </x:c>
      <x:c r="M88" s="51" t="str">
        <x:f>IF(L88&gt;=75,"Critical",IF(L88&gt;=50,"High",IF(L88&gt;=25,"Moderate","Low")))</x:f>
        <x:v>Low</x:v>
      </x:c>
      <x:c r="N88" s="51" t="str">
        <x:v>Unreviewed</x:v>
      </x:c>
      <x:c r="O88" s="51" t="str"/>
      <x:c r="P88" s="51" t="str"/>
      <x:c r="Q88" s="49"/>
      <x:c r="R88" s="49"/>
      <x:c r="S88" s="49"/>
      <x:c r="T88" s="49"/>
      <x:c r="U88" s="49"/>
      <x:c r="V88" s="49"/>
      <x:c r="W88" s="49"/>
      <x:c r="X88" s="49"/>
      <x:c r="Y88" s="49"/>
      <x:c r="Z88" s="49"/>
    </x:row>
    <x:row r="89">
      <x:c r="A89" s="51" t="str">
        <x:v>MM.14.2</x:v>
      </x:c>
      <x:c r="B89" s="51" t="str">
        <x:v>MM.14</x:v>
      </x:c>
      <x:c r="C89" s="59" t="b">
        <x:v>0</x:v>
      </x:c>
      <x:c r="D89" s="51" t="str">
        <x:v>The hospital ensures that all open multi-dose containers are labeled with open date, expiry date, initials, and time (if necessary).</x:v>
      </x:c>
      <x:c r="E89" s="51" t="str"/>
      <x:c r="F89" s="51" t="n">
        <x:v>0</x:v>
      </x:c>
      <x:c r="G89" s="51" t="n">
        <x:v>0</x:v>
      </x:c>
      <x:c r="H89" s="51" t="n">
        <x:v>0</x:v>
      </x:c>
      <x:c r="I89" s="51" t="str">
        <x:v>Missing</x:v>
      </x:c>
      <x:c r="J89" s="51" t="n">
        <x:v>0</x:v>
      </x:c>
      <x:c r="K89" s="51" t="n">
        <x:v>0</x:v>
      </x:c>
      <x:c r="L89" s="51" t="n">
        <x:f>MIN(100,IF(C89,20,0)+F89*45+G89*30+H89*15+IF(I89="CriticalBlocked",30,IF(I89="Blocked",20,IF(I89="Missing",20,IF(I89="Partial",10,0))))+J89*20+K89*10)</x:f>
        <x:v>20</x:v>
      </x:c>
      <x:c r="M89" s="51" t="str">
        <x:f>IF(L89&gt;=75,"Critical",IF(L89&gt;=50,"High",IF(L89&gt;=25,"Moderate","Low")))</x:f>
        <x:v>Low</x:v>
      </x:c>
      <x:c r="N89" s="51" t="str">
        <x:v>Unreviewed</x:v>
      </x:c>
      <x:c r="O89" s="51" t="str"/>
      <x:c r="P89" s="51" t="str"/>
      <x:c r="Q89" s="49"/>
      <x:c r="R89" s="49"/>
      <x:c r="S89" s="49"/>
      <x:c r="T89" s="49"/>
      <x:c r="U89" s="49"/>
      <x:c r="V89" s="49"/>
      <x:c r="W89" s="49"/>
      <x:c r="X89" s="49"/>
      <x:c r="Y89" s="49"/>
      <x:c r="Z89" s="49"/>
    </x:row>
    <x:row r="90">
      <x:c r="A90" s="51" t="str">
        <x:v>MM.14.3</x:v>
      </x:c>
      <x:c r="B90" s="51" t="str">
        <x:v>MM.14</x:v>
      </x:c>
      <x:c r="C90" s="59" t="b">
        <x:v>0</x:v>
      </x:c>
      <x:c r="D90" s="51" t="str">
        <x:v>The hospital ensures that no expired open or unlabeled open multi-dose containers are available in patient care areas.</x:v>
      </x:c>
      <x:c r="E90" s="51" t="str"/>
      <x:c r="F90" s="51" t="n">
        <x:v>0</x:v>
      </x:c>
      <x:c r="G90" s="51" t="n">
        <x:v>0</x:v>
      </x:c>
      <x:c r="H90" s="51" t="n">
        <x:v>0</x:v>
      </x:c>
      <x:c r="I90" s="51" t="str">
        <x:v>Missing</x:v>
      </x:c>
      <x:c r="J90" s="51" t="n">
        <x:v>0</x:v>
      </x:c>
      <x:c r="K90" s="51" t="n">
        <x:v>0</x:v>
      </x:c>
      <x:c r="L90" s="51" t="n">
        <x:f>MIN(100,IF(C90,20,0)+F90*45+G90*30+H90*15+IF(I90="CriticalBlocked",30,IF(I90="Blocked",20,IF(I90="Missing",20,IF(I90="Partial",10,0))))+J90*20+K90*10)</x:f>
        <x:v>20</x:v>
      </x:c>
      <x:c r="M90" s="51" t="str">
        <x:f>IF(L90&gt;=75,"Critical",IF(L90&gt;=50,"High",IF(L90&gt;=25,"Moderate","Low")))</x:f>
        <x:v>Low</x:v>
      </x:c>
      <x:c r="N90" s="51" t="str">
        <x:v>Unreviewed</x:v>
      </x:c>
      <x:c r="O90" s="51" t="str"/>
      <x:c r="P90" s="51" t="str"/>
      <x:c r="Q90" s="49"/>
      <x:c r="R90" s="49"/>
      <x:c r="S90" s="49"/>
      <x:c r="T90" s="49"/>
      <x:c r="U90" s="49"/>
      <x:c r="V90" s="49"/>
      <x:c r="W90" s="49"/>
      <x:c r="X90" s="49"/>
      <x:c r="Y90" s="49"/>
      <x:c r="Z90" s="49"/>
    </x:row>
    <x:row r="91">
      <x:c r="A91" s="51" t="str">
        <x:v>MM.15.1</x:v>
      </x:c>
      <x:c r="B91" s="51" t="str">
        <x:v>MM.15</x:v>
      </x:c>
      <x:c r="C91" s="59" t="b">
        <x:v>0</x:v>
      </x:c>
      <x:c r="D91" s="51" t="str">
        <x:v>The hospital develops and maintains a standardized set of guidelines for emergency drugs for crash carts and emergency medical bags in accordance with the current Saudi Heart Association recommendations.</x:v>
      </x:c>
      <x:c r="E91" s="51" t="str"/>
      <x:c r="F91" s="51" t="n">
        <x:v>0</x:v>
      </x:c>
      <x:c r="G91" s="51" t="n">
        <x:v>0</x:v>
      </x:c>
      <x:c r="H91" s="51" t="n">
        <x:v>0</x:v>
      </x:c>
      <x:c r="I91" s="51" t="str">
        <x:v>Missing</x:v>
      </x:c>
      <x:c r="J91" s="51" t="n">
        <x:v>0</x:v>
      </x:c>
      <x:c r="K91" s="51" t="n">
        <x:v>0</x:v>
      </x:c>
      <x:c r="L91" s="51" t="n">
        <x:f>MIN(100,IF(C91,20,0)+F91*45+G91*30+H91*15+IF(I91="CriticalBlocked",30,IF(I91="Blocked",20,IF(I91="Missing",20,IF(I91="Partial",10,0))))+J91*20+K91*10)</x:f>
        <x:v>20</x:v>
      </x:c>
      <x:c r="M91" s="51" t="str">
        <x:f>IF(L91&gt;=75,"Critical",IF(L91&gt;=50,"High",IF(L91&gt;=25,"Moderate","Low")))</x:f>
        <x:v>Low</x:v>
      </x:c>
      <x:c r="N91" s="51" t="str">
        <x:v>Unreviewed</x:v>
      </x:c>
      <x:c r="O91" s="51" t="str"/>
      <x:c r="P91" s="51" t="str"/>
      <x:c r="Q91" s="49"/>
      <x:c r="R91" s="49"/>
      <x:c r="S91" s="49"/>
      <x:c r="T91" s="49"/>
      <x:c r="U91" s="49"/>
      <x:c r="V91" s="49"/>
      <x:c r="W91" s="49"/>
      <x:c r="X91" s="49"/>
      <x:c r="Y91" s="49"/>
      <x:c r="Z91" s="49"/>
    </x:row>
    <x:row r="92">
      <x:c r="A92" s="51" t="str">
        <x:v>MM.15.2</x:v>
      </x:c>
      <x:c r="B92" s="51" t="str">
        <x:v>MM.15</x:v>
      </x:c>
      <x:c r="C92" s="59" t="b">
        <x:v>0</x:v>
      </x:c>
      <x:c r="D92" s="51" t="str">
        <x:v>Emergency medications are available in the patient care units and readily accessible to meet emergency needs.</x:v>
      </x:c>
      <x:c r="E92" s="51" t="str"/>
      <x:c r="F92" s="51" t="n">
        <x:v>0</x:v>
      </x:c>
      <x:c r="G92" s="51" t="n">
        <x:v>0</x:v>
      </x:c>
      <x:c r="H92" s="51" t="n">
        <x:v>0</x:v>
      </x:c>
      <x:c r="I92" s="51" t="str">
        <x:v>Missing</x:v>
      </x:c>
      <x:c r="J92" s="51" t="n">
        <x:v>0</x:v>
      </x:c>
      <x:c r="K92" s="51" t="n">
        <x:v>0</x:v>
      </x:c>
      <x:c r="L92" s="51" t="n">
        <x:f>MIN(100,IF(C92,20,0)+F92*45+G92*30+H92*15+IF(I92="CriticalBlocked",30,IF(I92="Blocked",20,IF(I92="Missing",20,IF(I92="Partial",10,0))))+J92*20+K92*10)</x:f>
        <x:v>20</x:v>
      </x:c>
      <x:c r="M92" s="51" t="str">
        <x:f>IF(L92&gt;=75,"Critical",IF(L92&gt;=50,"High",IF(L92&gt;=25,"Moderate","Low")))</x:f>
        <x:v>Low</x:v>
      </x:c>
      <x:c r="N92" s="51" t="str">
        <x:v>Unreviewed</x:v>
      </x:c>
      <x:c r="O92" s="51" t="str"/>
      <x:c r="P92" s="51" t="str"/>
      <x:c r="Q92" s="49"/>
      <x:c r="R92" s="49"/>
      <x:c r="S92" s="49"/>
      <x:c r="T92" s="49"/>
      <x:c r="U92" s="49"/>
      <x:c r="V92" s="49"/>
      <x:c r="W92" s="49"/>
      <x:c r="X92" s="49"/>
      <x:c r="Y92" s="49"/>
      <x:c r="Z92" s="49"/>
    </x:row>
    <x:row r="93">
      <x:c r="A93" s="51" t="str">
        <x:v>MM.15.3</x:v>
      </x:c>
      <x:c r="B93" s="51" t="str">
        <x:v>MM.15</x:v>
      </x:c>
      <x:c r="C93" s="59" t="b">
        <x:v>0</x:v>
      </x:c>
      <x:c r="D93" s="51" t="str">
        <x:v>The emergency medications in the crash carts and emergency medical bags are protected from loss or theft using safety plastic seal.</x:v>
      </x:c>
      <x:c r="E93" s="51" t="str"/>
      <x:c r="F93" s="51" t="n">
        <x:v>0</x:v>
      </x:c>
      <x:c r="G93" s="51" t="n">
        <x:v>0</x:v>
      </x:c>
      <x:c r="H93" s="51" t="n">
        <x:v>0</x:v>
      </x:c>
      <x:c r="I93" s="51" t="str">
        <x:v>Missing</x:v>
      </x:c>
      <x:c r="J93" s="51" t="n">
        <x:v>0</x:v>
      </x:c>
      <x:c r="K93" s="51" t="n">
        <x:v>0</x:v>
      </x:c>
      <x:c r="L93" s="51" t="n">
        <x:f>MIN(100,IF(C93,20,0)+F93*45+G93*30+H93*15+IF(I93="CriticalBlocked",30,IF(I93="Blocked",20,IF(I93="Missing",20,IF(I93="Partial",10,0))))+J93*20+K93*10)</x:f>
        <x:v>20</x:v>
      </x:c>
      <x:c r="M93" s="51" t="str">
        <x:f>IF(L93&gt;=75,"Critical",IF(L93&gt;=50,"High",IF(L93&gt;=25,"Moderate","Low")))</x:f>
        <x:v>Low</x:v>
      </x:c>
      <x:c r="N93" s="51" t="str">
        <x:v>Unreviewed</x:v>
      </x:c>
      <x:c r="O93" s="51" t="str"/>
      <x:c r="P93" s="51" t="str"/>
      <x:c r="Q93" s="49"/>
      <x:c r="R93" s="49"/>
      <x:c r="S93" s="49"/>
      <x:c r="T93" s="49"/>
      <x:c r="U93" s="49"/>
      <x:c r="V93" s="49"/>
      <x:c r="W93" s="49"/>
      <x:c r="X93" s="49"/>
      <x:c r="Y93" s="49"/>
      <x:c r="Z93" s="49"/>
    </x:row>
    <x:row r="94">
      <x:c r="A94" s="51" t="str">
        <x:v>MM.15.4</x:v>
      </x:c>
      <x:c r="B94" s="51" t="str">
        <x:v>MM.15</x:v>
      </x:c>
      <x:c r="C94" s="59" t="b">
        <x:v>0</x:v>
      </x:c>
      <x:c r="D94" s="51" t="str">
        <x:v>Plastic seals of crash carts and emergency bags are stocked in a safe place under supervision of pharmaceutical care or nursing.</x:v>
      </x:c>
      <x:c r="E94" s="51" t="str"/>
      <x:c r="F94" s="51" t="n">
        <x:v>0</x:v>
      </x:c>
      <x:c r="G94" s="51" t="n">
        <x:v>0</x:v>
      </x:c>
      <x:c r="H94" s="51" t="n">
        <x:v>0</x:v>
      </x:c>
      <x:c r="I94" s="51" t="str">
        <x:v>Missing</x:v>
      </x:c>
      <x:c r="J94" s="51" t="n">
        <x:v>0</x:v>
      </x:c>
      <x:c r="K94" s="51" t="n">
        <x:v>0</x:v>
      </x:c>
      <x:c r="L94" s="51" t="n">
        <x:f>MIN(100,IF(C94,20,0)+F94*45+G94*30+H94*15+IF(I94="CriticalBlocked",30,IF(I94="Blocked",20,IF(I94="Missing",20,IF(I94="Partial",10,0))))+J94*20+K94*10)</x:f>
        <x:v>20</x:v>
      </x:c>
      <x:c r="M94" s="51" t="str">
        <x:f>IF(L94&gt;=75,"Critical",IF(L94&gt;=50,"High",IF(L94&gt;=25,"Moderate","Low")))</x:f>
        <x:v>Low</x:v>
      </x:c>
      <x:c r="N94" s="51" t="str">
        <x:v>Unreviewed</x:v>
      </x:c>
      <x:c r="O94" s="51" t="str"/>
      <x:c r="P94" s="51" t="str"/>
      <x:c r="Q94" s="49"/>
      <x:c r="R94" s="49"/>
      <x:c r="S94" s="49"/>
      <x:c r="T94" s="49"/>
      <x:c r="U94" s="49"/>
      <x:c r="V94" s="49"/>
      <x:c r="W94" s="49"/>
      <x:c r="X94" s="49"/>
      <x:c r="Y94" s="49"/>
      <x:c r="Z94" s="49"/>
    </x:row>
    <x:row r="95">
      <x:c r="A95" s="51" t="str">
        <x:v>MM.15.5</x:v>
      </x:c>
      <x:c r="B95" s="51" t="str">
        <x:v>MM.15</x:v>
      </x:c>
      <x:c r="C95" s="59" t="b">
        <x:v>0</x:v>
      </x:c>
      <x:c r="D95" s="51" t="str">
        <x:v>There is a process in place for monitoring emergency medications and replenishing them in a timely manner after use or when expired or damaged.</x:v>
      </x:c>
      <x:c r="E95" s="51" t="str"/>
      <x:c r="F95" s="51" t="n">
        <x:v>0</x:v>
      </x:c>
      <x:c r="G95" s="51" t="n">
        <x:v>0</x:v>
      </x:c>
      <x:c r="H95" s="51" t="n">
        <x:v>0</x:v>
      </x:c>
      <x:c r="I95" s="51" t="str">
        <x:v>Missing</x:v>
      </x:c>
      <x:c r="J95" s="51" t="n">
        <x:v>0</x:v>
      </x:c>
      <x:c r="K95" s="51" t="n">
        <x:v>0</x:v>
      </x:c>
      <x:c r="L95" s="51" t="n">
        <x:f>MIN(100,IF(C95,20,0)+F95*45+G95*30+H95*15+IF(I95="CriticalBlocked",30,IF(I95="Blocked",20,IF(I95="Missing",20,IF(I95="Partial",10,0))))+J95*20+K95*10)</x:f>
        <x:v>20</x:v>
      </x:c>
      <x:c r="M95" s="51" t="str">
        <x:f>IF(L95&gt;=75,"Critical",IF(L95&gt;=50,"High",IF(L95&gt;=25,"Moderate","Low")))</x:f>
        <x:v>Low</x:v>
      </x:c>
      <x:c r="N95" s="51" t="str">
        <x:v>Unreviewed</x:v>
      </x:c>
      <x:c r="O95" s="51" t="str"/>
      <x:c r="P95" s="51" t="str"/>
      <x:c r="Q95" s="49"/>
      <x:c r="R95" s="49"/>
      <x:c r="S95" s="49"/>
      <x:c r="T95" s="49"/>
      <x:c r="U95" s="49"/>
      <x:c r="V95" s="49"/>
      <x:c r="W95" s="49"/>
      <x:c r="X95" s="49"/>
      <x:c r="Y95" s="49"/>
      <x:c r="Z95" s="49"/>
    </x:row>
    <x:row r="96">
      <x:c r="A96" s="51" t="str">
        <x:v>MM.15.6</x:v>
      </x:c>
      <x:c r="B96" s="51" t="str">
        <x:v>MM.15</x:v>
      </x:c>
      <x:c r="C96" s="59" t="b">
        <x:v>0</x:v>
      </x:c>
      <x:c r="D96" s="51" t="str">
        <x:v>The hospital maintains documents of emergency medications inspection on every shift by nursing staff</x:v>
      </x:c>
      <x:c r="E96" s="51" t="str"/>
      <x:c r="F96" s="51" t="n">
        <x:v>0</x:v>
      </x:c>
      <x:c r="G96" s="51" t="n">
        <x:v>0</x:v>
      </x:c>
      <x:c r="H96" s="51" t="n">
        <x:v>0</x:v>
      </x:c>
      <x:c r="I96" s="51" t="str">
        <x:v>Missing</x:v>
      </x:c>
      <x:c r="J96" s="51" t="n">
        <x:v>0</x:v>
      </x:c>
      <x:c r="K96" s="51" t="n">
        <x:v>0</x:v>
      </x:c>
      <x:c r="L96" s="51" t="n">
        <x:f>MIN(100,IF(C96,20,0)+F96*45+G96*30+H96*15+IF(I96="CriticalBlocked",30,IF(I96="Blocked",20,IF(I96="Missing",20,IF(I96="Partial",10,0))))+J96*20+K96*10)</x:f>
        <x:v>20</x:v>
      </x:c>
      <x:c r="M96" s="51" t="str">
        <x:f>IF(L96&gt;=75,"Critical",IF(L96&gt;=50,"High",IF(L96&gt;=25,"Moderate","Low")))</x:f>
        <x:v>Low</x:v>
      </x:c>
      <x:c r="N96" s="51" t="str">
        <x:v>Unreviewed</x:v>
      </x:c>
      <x:c r="O96" s="51" t="str"/>
      <x:c r="P96" s="51" t="str"/>
      <x:c r="Q96" s="49"/>
      <x:c r="R96" s="49"/>
      <x:c r="S96" s="49"/>
      <x:c r="T96" s="49"/>
      <x:c r="U96" s="49"/>
      <x:c r="V96" s="49"/>
      <x:c r="W96" s="49"/>
      <x:c r="X96" s="49"/>
      <x:c r="Y96" s="49"/>
      <x:c r="Z96" s="49"/>
    </x:row>
    <x:row r="97">
      <x:c r="A97" s="51" t="str">
        <x:v>MM.15.7</x:v>
      </x:c>
      <x:c r="B97" s="51" t="str">
        <x:v>MM.15</x:v>
      </x:c>
      <x:c r="C97" s="59" t="b">
        <x:v>0</x:v>
      </x:c>
      <x:c r="D97" s="51" t="str">
        <x:v>The hospital maintains documents of emergency medications inspection every month by pharmaceutical care staff.</x:v>
      </x:c>
      <x:c r="E97" s="51" t="str"/>
      <x:c r="F97" s="51" t="n">
        <x:v>0</x:v>
      </x:c>
      <x:c r="G97" s="51" t="n">
        <x:v>0</x:v>
      </x:c>
      <x:c r="H97" s="51" t="n">
        <x:v>0</x:v>
      </x:c>
      <x:c r="I97" s="51" t="str">
        <x:v>Missing</x:v>
      </x:c>
      <x:c r="J97" s="51" t="n">
        <x:v>0</x:v>
      </x:c>
      <x:c r="K97" s="51" t="n">
        <x:v>0</x:v>
      </x:c>
      <x:c r="L97" s="51" t="n">
        <x:f>MIN(100,IF(C97,20,0)+F97*45+G97*30+H97*15+IF(I97="CriticalBlocked",30,IF(I97="Blocked",20,IF(I97="Missing",20,IF(I97="Partial",10,0))))+J97*20+K97*10)</x:f>
        <x:v>20</x:v>
      </x:c>
      <x:c r="M97" s="51" t="str">
        <x:f>IF(L97&gt;=75,"Critical",IF(L97&gt;=50,"High",IF(L97&gt;=25,"Moderate","Low")))</x:f>
        <x:v>Low</x:v>
      </x:c>
      <x:c r="N97" s="51" t="str">
        <x:v>Unreviewed</x:v>
      </x:c>
      <x:c r="O97" s="51" t="str"/>
      <x:c r="P97" s="51" t="str"/>
      <x:c r="Q97" s="49"/>
      <x:c r="R97" s="49"/>
      <x:c r="S97" s="49"/>
      <x:c r="T97" s="49"/>
      <x:c r="U97" s="49"/>
      <x:c r="V97" s="49"/>
      <x:c r="W97" s="49"/>
      <x:c r="X97" s="49"/>
      <x:c r="Y97" s="49"/>
      <x:c r="Z97" s="49"/>
    </x:row>
    <x:row r="98">
      <x:c r="A98" s="51" t="str">
        <x:v>MM.16.1</x:v>
      </x:c>
      <x:c r="B98" s="51" t="str">
        <x:v>MM.16</x:v>
      </x:c>
      <x:c r="C98" s="59" t="b">
        <x:v>0</x:v>
      </x:c>
      <x:c r="D98" s="51" t="str">
        <x:v>The hospital implements a multidisciplinary policy and procedure on medications assignment as floor stocks in limited quantities according to the needs of each service unit.</x:v>
      </x:c>
      <x:c r="E98" s="51" t="str"/>
      <x:c r="F98" s="51" t="n">
        <x:v>0</x:v>
      </x:c>
      <x:c r="G98" s="51" t="n">
        <x:v>0</x:v>
      </x:c>
      <x:c r="H98" s="51" t="n">
        <x:v>0</x:v>
      </x:c>
      <x:c r="I98" s="51" t="str">
        <x:v>Missing</x:v>
      </x:c>
      <x:c r="J98" s="51" t="n">
        <x:v>0</x:v>
      </x:c>
      <x:c r="K98" s="51" t="n">
        <x:v>0</x:v>
      </x:c>
      <x:c r="L98" s="51" t="n">
        <x:f>MIN(100,IF(C98,20,0)+F98*45+G98*30+H98*15+IF(I98="CriticalBlocked",30,IF(I98="Blocked",20,IF(I98="Missing",20,IF(I98="Partial",10,0))))+J98*20+K98*10)</x:f>
        <x:v>20</x:v>
      </x:c>
      <x:c r="M98" s="51" t="str">
        <x:f>IF(L98&gt;=75,"Critical",IF(L98&gt;=50,"High",IF(L98&gt;=25,"Moderate","Low")))</x:f>
        <x:v>Low</x:v>
      </x:c>
      <x:c r="N98" s="51" t="str">
        <x:v>Unreviewed</x:v>
      </x:c>
      <x:c r="O98" s="51" t="str"/>
      <x:c r="P98" s="51" t="str"/>
      <x:c r="Q98" s="49"/>
      <x:c r="R98" s="49"/>
      <x:c r="S98" s="49"/>
      <x:c r="T98" s="49"/>
      <x:c r="U98" s="49"/>
      <x:c r="V98" s="49"/>
      <x:c r="W98" s="49"/>
      <x:c r="X98" s="49"/>
      <x:c r="Y98" s="49"/>
      <x:c r="Z98" s="49"/>
    </x:row>
    <x:row r="99">
      <x:c r="A99" s="51" t="str">
        <x:v>MM.16.2</x:v>
      </x:c>
      <x:c r="B99" s="51" t="str">
        <x:v>MM.16</x:v>
      </x:c>
      <x:c r="C99" s="59" t="b">
        <x:v>0</x:v>
      </x:c>
      <x:c r="D99" s="51" t="str">
        <x:v>Anesthesia reversal agents are available in operating rooms and areas where moderate or deep sedation is performed.</x:v>
      </x:c>
      <x:c r="E99" s="51" t="str"/>
      <x:c r="F99" s="51" t="n">
        <x:v>0</x:v>
      </x:c>
      <x:c r="G99" s="51" t="n">
        <x:v>0</x:v>
      </x:c>
      <x:c r="H99" s="51" t="n">
        <x:v>0</x:v>
      </x:c>
      <x:c r="I99" s="51" t="str">
        <x:v>Missing</x:v>
      </x:c>
      <x:c r="J99" s="51" t="n">
        <x:v>0</x:v>
      </x:c>
      <x:c r="K99" s="51" t="n">
        <x:v>0</x:v>
      </x:c>
      <x:c r="L99" s="51" t="n">
        <x:f>MIN(100,IF(C99,20,0)+F99*45+G99*30+H99*15+IF(I99="CriticalBlocked",30,IF(I99="Blocked",20,IF(I99="Missing",20,IF(I99="Partial",10,0))))+J99*20+K99*10)</x:f>
        <x:v>20</x:v>
      </x:c>
      <x:c r="M99" s="51" t="str">
        <x:f>IF(L99&gt;=75,"Critical",IF(L99&gt;=50,"High",IF(L99&gt;=25,"Moderate","Low")))</x:f>
        <x:v>Low</x:v>
      </x:c>
      <x:c r="N99" s="51" t="str">
        <x:v>Unreviewed</x:v>
      </x:c>
      <x:c r="O99" s="51" t="str"/>
      <x:c r="P99" s="51" t="str"/>
      <x:c r="Q99" s="49"/>
      <x:c r="R99" s="49"/>
      <x:c r="S99" s="49"/>
      <x:c r="T99" s="49"/>
      <x:c r="U99" s="49"/>
      <x:c r="V99" s="49"/>
      <x:c r="W99" s="49"/>
      <x:c r="X99" s="49"/>
      <x:c r="Y99" s="49"/>
      <x:c r="Z99" s="49"/>
    </x:row>
    <x:row r="100">
      <x:c r="A100" s="51" t="str">
        <x:v>MM.16.3</x:v>
      </x:c>
      <x:c r="B100" s="51" t="str">
        <x:v>MM.16</x:v>
      </x:c>
      <x:c r="C100" s="59" t="b">
        <x:v>0</x:v>
      </x:c>
      <x:c r="D100" s="51" t="str">
        <x:v>Oxytocics are available in the labor and delivery unit.</x:v>
      </x:c>
      <x:c r="E100" s="51" t="str"/>
      <x:c r="F100" s="51" t="n">
        <x:v>0</x:v>
      </x:c>
      <x:c r="G100" s="51" t="n">
        <x:v>0</x:v>
      </x:c>
      <x:c r="H100" s="51" t="n">
        <x:v>0</x:v>
      </x:c>
      <x:c r="I100" s="51" t="str">
        <x:v>Missing</x:v>
      </x:c>
      <x:c r="J100" s="51" t="n">
        <x:v>0</x:v>
      </x:c>
      <x:c r="K100" s="51" t="n">
        <x:v>0</x:v>
      </x:c>
      <x:c r="L100" s="51" t="n">
        <x:f>MIN(100,IF(C100,20,0)+F100*45+G100*30+H100*15+IF(I100="CriticalBlocked",30,IF(I100="Blocked",20,IF(I100="Missing",20,IF(I100="Partial",10,0))))+J100*20+K100*10)</x:f>
        <x:v>20</x:v>
      </x:c>
      <x:c r="M100" s="51" t="str">
        <x:f>IF(L100&gt;=75,"Critical",IF(L100&gt;=50,"High",IF(L100&gt;=25,"Moderate","Low")))</x:f>
        <x:v>Low</x:v>
      </x:c>
      <x:c r="N100" s="51" t="str">
        <x:v>Unreviewed</x:v>
      </x:c>
      <x:c r="O100" s="51" t="str"/>
      <x:c r="P100" s="51" t="str"/>
      <x:c r="Q100" s="49"/>
      <x:c r="R100" s="49"/>
      <x:c r="S100" s="49"/>
      <x:c r="T100" s="49"/>
      <x:c r="U100" s="49"/>
      <x:c r="V100" s="49"/>
      <x:c r="W100" s="49"/>
      <x:c r="X100" s="49"/>
      <x:c r="Y100" s="49"/>
      <x:c r="Z100" s="49"/>
    </x:row>
    <x:row r="101">
      <x:c r="A101" s="51" t="str">
        <x:v>MM.16.4</x:v>
      </x:c>
      <x:c r="B101" s="51" t="str">
        <x:v>MM.16</x:v>
      </x:c>
      <x:c r="C101" s="59" t="b">
        <x:v>0</x:v>
      </x:c>
      <x:c r="D101" s="51" t="str">
        <x:v>Benzodiazepine and narcotics antagonists are available in all patient care areas where benzodiazepines and narcotics are stocked.</x:v>
      </x:c>
      <x:c r="E101" s="51" t="str"/>
      <x:c r="F101" s="51" t="n">
        <x:v>0</x:v>
      </x:c>
      <x:c r="G101" s="51" t="n">
        <x:v>0</x:v>
      </x:c>
      <x:c r="H101" s="51" t="n">
        <x:v>0</x:v>
      </x:c>
      <x:c r="I101" s="51" t="str">
        <x:v>Missing</x:v>
      </x:c>
      <x:c r="J101" s="51" t="n">
        <x:v>0</x:v>
      </x:c>
      <x:c r="K101" s="51" t="n">
        <x:v>0</x:v>
      </x:c>
      <x:c r="L101" s="51" t="n">
        <x:f>MIN(100,IF(C101,20,0)+F101*45+G101*30+H101*15+IF(I101="CriticalBlocked",30,IF(I101="Blocked",20,IF(I101="Missing",20,IF(I101="Partial",10,0))))+J101*20+K101*10)</x:f>
        <x:v>20</x:v>
      </x:c>
      <x:c r="M101" s="51" t="str">
        <x:f>IF(L101&gt;=75,"Critical",IF(L101&gt;=50,"High",IF(L101&gt;=25,"Moderate","Low")))</x:f>
        <x:v>Low</x:v>
      </x:c>
      <x:c r="N101" s="51" t="str">
        <x:v>Unreviewed</x:v>
      </x:c>
      <x:c r="O101" s="51" t="str"/>
      <x:c r="P101" s="51" t="str"/>
      <x:c r="Q101" s="49"/>
      <x:c r="R101" s="49"/>
      <x:c r="S101" s="49"/>
      <x:c r="T101" s="49"/>
      <x:c r="U101" s="49"/>
      <x:c r="V101" s="49"/>
      <x:c r="W101" s="49"/>
      <x:c r="X101" s="49"/>
      <x:c r="Y101" s="49"/>
      <x:c r="Z101" s="49"/>
    </x:row>
    <x:row r="102">
      <x:c r="A102" s="51" t="str">
        <x:v>MM.16.5</x:v>
      </x:c>
      <x:c r="B102" s="51" t="str">
        <x:v>MM.16</x:v>
      </x:c>
      <x:c r="C102" s="59" t="b">
        <x:v>0</x:v>
      </x:c>
      <x:c r="D102" s="51" t="str">
        <x:v>All medications in the patient care areas are well separated and properly labeled.</x:v>
      </x:c>
      <x:c r="E102" s="51" t="str"/>
      <x:c r="F102" s="51" t="n">
        <x:v>0</x:v>
      </x:c>
      <x:c r="G102" s="51" t="n">
        <x:v>0</x:v>
      </x:c>
      <x:c r="H102" s="51" t="n">
        <x:v>0</x:v>
      </x:c>
      <x:c r="I102" s="51" t="str">
        <x:v>Missing</x:v>
      </x:c>
      <x:c r="J102" s="51" t="n">
        <x:v>0</x:v>
      </x:c>
      <x:c r="K102" s="51" t="n">
        <x:v>0</x:v>
      </x:c>
      <x:c r="L102" s="51" t="n">
        <x:f>MIN(100,IF(C102,20,0)+F102*45+G102*30+H102*15+IF(I102="CriticalBlocked",30,IF(I102="Blocked",20,IF(I102="Missing",20,IF(I102="Partial",10,0))))+J102*20+K102*10)</x:f>
        <x:v>20</x:v>
      </x:c>
      <x:c r="M102" s="51" t="str">
        <x:f>IF(L102&gt;=75,"Critical",IF(L102&gt;=50,"High",IF(L102&gt;=25,"Moderate","Low")))</x:f>
        <x:v>Low</x:v>
      </x:c>
      <x:c r="N102" s="51" t="str">
        <x:v>Unreviewed</x:v>
      </x:c>
      <x:c r="O102" s="51" t="str"/>
      <x:c r="P102" s="51" t="str"/>
      <x:c r="Q102" s="49"/>
      <x:c r="R102" s="49"/>
      <x:c r="S102" s="49"/>
      <x:c r="T102" s="49"/>
      <x:c r="U102" s="49"/>
      <x:c r="V102" s="49"/>
      <x:c r="W102" s="49"/>
      <x:c r="X102" s="49"/>
      <x:c r="Y102" s="49"/>
      <x:c r="Z102" s="49"/>
    </x:row>
    <x:row r="103">
      <x:c r="A103" s="51" t="str">
        <x:v>MM.16.6</x:v>
      </x:c>
      <x:c r="B103" s="51" t="str">
        <x:v>MM.16</x:v>
      </x:c>
      <x:c r="C103" s="59" t="b">
        <x:v>0</x:v>
      </x:c>
      <x:c r="D103" s="51" t="str">
        <x:v>Concentrated electrolytes are not allowed in patient care areas (unless patient safety necessitates their immediate use). All necessary precautions and separate locked cabinet with proper signage are in place to prevent inadvertent administration of concentrated electrolytes.</x:v>
      </x:c>
      <x:c r="E103" s="51" t="str"/>
      <x:c r="F103" s="51" t="n">
        <x:v>0</x:v>
      </x:c>
      <x:c r="G103" s="51" t="n">
        <x:v>0</x:v>
      </x:c>
      <x:c r="H103" s="51" t="n">
        <x:v>0</x:v>
      </x:c>
      <x:c r="I103" s="51" t="str">
        <x:v>Missing</x:v>
      </x:c>
      <x:c r="J103" s="51" t="n">
        <x:v>0</x:v>
      </x:c>
      <x:c r="K103" s="51" t="n">
        <x:v>0</x:v>
      </x:c>
      <x:c r="L103" s="51" t="n">
        <x:f>MIN(100,IF(C103,20,0)+F103*45+G103*30+H103*15+IF(I103="CriticalBlocked",30,IF(I103="Blocked",20,IF(I103="Missing",20,IF(I103="Partial",10,0))))+J103*20+K103*10)</x:f>
        <x:v>20</x:v>
      </x:c>
      <x:c r="M103" s="51" t="str">
        <x:f>IF(L103&gt;=75,"Critical",IF(L103&gt;=50,"High",IF(L103&gt;=25,"Moderate","Low")))</x:f>
        <x:v>Low</x:v>
      </x:c>
      <x:c r="N103" s="51" t="str">
        <x:v>Unreviewed</x:v>
      </x:c>
      <x:c r="O103" s="51" t="str"/>
      <x:c r="P103" s="51" t="str"/>
      <x:c r="Q103" s="49"/>
      <x:c r="R103" s="49"/>
      <x:c r="S103" s="49"/>
      <x:c r="T103" s="49"/>
      <x:c r="U103" s="49"/>
      <x:c r="V103" s="49"/>
      <x:c r="W103" s="49"/>
      <x:c r="X103" s="49"/>
      <x:c r="Y103" s="49"/>
      <x:c r="Z103" s="49"/>
    </x:row>
    <x:row r="104">
      <x:c r="A104" s="51" t="str">
        <x:v>MM.17.1</x:v>
      </x:c>
      <x:c r="B104" s="51" t="str">
        <x:v>MM.17</x:v>
      </x:c>
      <x:c r="C104" s="59" t="b">
        <x:v>0</x:v>
      </x:c>
      <x:c r="D104" s="51" t="str">
        <x:v>The hospital implements a multidisciplinary policy and procedure on handling medications brought into the hospital by patients or their families (patient’s own medications).</x:v>
      </x:c>
      <x:c r="E104" s="51" t="str"/>
      <x:c r="F104" s="51" t="n">
        <x:v>0</x:v>
      </x:c>
      <x:c r="G104" s="51" t="n">
        <x:v>0</x:v>
      </x:c>
      <x:c r="H104" s="51" t="n">
        <x:v>0</x:v>
      </x:c>
      <x:c r="I104" s="51" t="str">
        <x:v>Missing</x:v>
      </x:c>
      <x:c r="J104" s="51" t="n">
        <x:v>0</x:v>
      </x:c>
      <x:c r="K104" s="51" t="n">
        <x:v>0</x:v>
      </x:c>
      <x:c r="L104" s="51" t="n">
        <x:f>MIN(100,IF(C104,20,0)+F104*45+G104*30+H104*15+IF(I104="CriticalBlocked",30,IF(I104="Blocked",20,IF(I104="Missing",20,IF(I104="Partial",10,0))))+J104*20+K104*10)</x:f>
        <x:v>20</x:v>
      </x:c>
      <x:c r="M104" s="51" t="str">
        <x:f>IF(L104&gt;=75,"Critical",IF(L104&gt;=50,"High",IF(L104&gt;=25,"Moderate","Low")))</x:f>
        <x:v>Low</x:v>
      </x:c>
      <x:c r="N104" s="51" t="str">
        <x:v>Unreviewed</x:v>
      </x:c>
      <x:c r="O104" s="51" t="str"/>
      <x:c r="P104" s="51" t="str"/>
      <x:c r="Q104" s="49"/>
      <x:c r="R104" s="49"/>
      <x:c r="S104" s="49"/>
      <x:c r="T104" s="49"/>
      <x:c r="U104" s="49"/>
      <x:c r="V104" s="49"/>
      <x:c r="W104" s="49"/>
      <x:c r="X104" s="49"/>
      <x:c r="Y104" s="49"/>
      <x:c r="Z104" s="49"/>
    </x:row>
    <x:row r="105">
      <x:c r="A105" s="51" t="str">
        <x:v>MM.17.2</x:v>
      </x:c>
      <x:c r="B105" s="51" t="str">
        <x:v>MM.17</x:v>
      </x:c>
      <x:c r="C105" s="59" t="b">
        <x:v>0</x:v>
      </x:c>
      <x:c r="D105" s="51" t="str">
        <x:v>Patient’s own medications are checked for integrity and properly labeled if permitted for use, by a qualified pharmacist.</x:v>
      </x:c>
      <x:c r="E105" s="51" t="str"/>
      <x:c r="F105" s="51" t="n">
        <x:v>0</x:v>
      </x:c>
      <x:c r="G105" s="51" t="n">
        <x:v>0</x:v>
      </x:c>
      <x:c r="H105" s="51" t="n">
        <x:v>0</x:v>
      </x:c>
      <x:c r="I105" s="51" t="str">
        <x:v>Missing</x:v>
      </x:c>
      <x:c r="J105" s="51" t="n">
        <x:v>0</x:v>
      </x:c>
      <x:c r="K105" s="51" t="n">
        <x:v>0</x:v>
      </x:c>
      <x:c r="L105" s="51" t="n">
        <x:f>MIN(100,IF(C105,20,0)+F105*45+G105*30+H105*15+IF(I105="CriticalBlocked",30,IF(I105="Blocked",20,IF(I105="Missing",20,IF(I105="Partial",10,0))))+J105*20+K105*10)</x:f>
        <x:v>20</x:v>
      </x:c>
      <x:c r="M105" s="51" t="str">
        <x:f>IF(L105&gt;=75,"Critical",IF(L105&gt;=50,"High",IF(L105&gt;=25,"Moderate","Low")))</x:f>
        <x:v>Low</x:v>
      </x:c>
      <x:c r="N105" s="51" t="str">
        <x:v>Unreviewed</x:v>
      </x:c>
      <x:c r="O105" s="51" t="str"/>
      <x:c r="P105" s="51" t="str"/>
      <x:c r="Q105" s="49"/>
      <x:c r="R105" s="49"/>
      <x:c r="S105" s="49"/>
      <x:c r="T105" s="49"/>
      <x:c r="U105" s="49"/>
      <x:c r="V105" s="49"/>
      <x:c r="W105" s="49"/>
      <x:c r="X105" s="49"/>
      <x:c r="Y105" s="49"/>
      <x:c r="Z105" s="49"/>
    </x:row>
    <x:row r="106">
      <x:c r="A106" s="51" t="str">
        <x:v>MM.17.3</x:v>
      </x:c>
      <x:c r="B106" s="51" t="str">
        <x:v>MM.17</x:v>
      </x:c>
      <x:c r="C106" s="59" t="b">
        <x:v>0</x:v>
      </x:c>
      <x:c r="D106" s="51" t="str">
        <x:v>There is proper documentation of patient’s own medications in the medical record (ordering, dispensing, and administration records).</x:v>
      </x:c>
      <x:c r="E106" s="51" t="str"/>
      <x:c r="F106" s="51" t="n">
        <x:v>0</x:v>
      </x:c>
      <x:c r="G106" s="51" t="n">
        <x:v>0</x:v>
      </x:c>
      <x:c r="H106" s="51" t="n">
        <x:v>0</x:v>
      </x:c>
      <x:c r="I106" s="51" t="str">
        <x:v>Missing</x:v>
      </x:c>
      <x:c r="J106" s="51" t="n">
        <x:v>0</x:v>
      </x:c>
      <x:c r="K106" s="51" t="n">
        <x:v>0</x:v>
      </x:c>
      <x:c r="L106" s="51" t="n">
        <x:f>MIN(100,IF(C106,20,0)+F106*45+G106*30+H106*15+IF(I106="CriticalBlocked",30,IF(I106="Blocked",20,IF(I106="Missing",20,IF(I106="Partial",10,0))))+J106*20+K106*10)</x:f>
        <x:v>20</x:v>
      </x:c>
      <x:c r="M106" s="51" t="str">
        <x:f>IF(L106&gt;=75,"Critical",IF(L106&gt;=50,"High",IF(L106&gt;=25,"Moderate","Low")))</x:f>
        <x:v>Low</x:v>
      </x:c>
      <x:c r="N106" s="51" t="str">
        <x:v>Unreviewed</x:v>
      </x:c>
      <x:c r="O106" s="51" t="str"/>
      <x:c r="P106" s="51" t="str"/>
      <x:c r="Q106" s="49"/>
      <x:c r="R106" s="49"/>
      <x:c r="S106" s="49"/>
      <x:c r="T106" s="49"/>
      <x:c r="U106" s="49"/>
      <x:c r="V106" s="49"/>
      <x:c r="W106" s="49"/>
      <x:c r="X106" s="49"/>
      <x:c r="Y106" s="49"/>
      <x:c r="Z106" s="49"/>
    </x:row>
    <x:row r="107">
      <x:c r="A107" s="51" t="str">
        <x:v>MM.17.4</x:v>
      </x:c>
      <x:c r="B107" s="51" t="str">
        <x:v>MM.17</x:v>
      </x:c>
      <x:c r="C107" s="59" t="b">
        <x:v>0</x:v>
      </x:c>
      <x:c r="D107" s="51" t="str">
        <x:v>When patient’s own medication is not permitted, both patient and prescriber are informed.</x:v>
      </x:c>
      <x:c r="E107" s="51" t="str"/>
      <x:c r="F107" s="51" t="n">
        <x:v>0</x:v>
      </x:c>
      <x:c r="G107" s="51" t="n">
        <x:v>0</x:v>
      </x:c>
      <x:c r="H107" s="51" t="n">
        <x:v>0</x:v>
      </x:c>
      <x:c r="I107" s="51" t="str">
        <x:v>Missing</x:v>
      </x:c>
      <x:c r="J107" s="51" t="n">
        <x:v>0</x:v>
      </x:c>
      <x:c r="K107" s="51" t="n">
        <x:v>0</x:v>
      </x:c>
      <x:c r="L107" s="51" t="n">
        <x:f>MIN(100,IF(C107,20,0)+F107*45+G107*30+H107*15+IF(I107="CriticalBlocked",30,IF(I107="Blocked",20,IF(I107="Missing",20,IF(I107="Partial",10,0))))+J107*20+K107*10)</x:f>
        <x:v>20</x:v>
      </x:c>
      <x:c r="M107" s="51" t="str">
        <x:f>IF(L107&gt;=75,"Critical",IF(L107&gt;=50,"High",IF(L107&gt;=25,"Moderate","Low")))</x:f>
        <x:v>Low</x:v>
      </x:c>
      <x:c r="N107" s="51" t="str">
        <x:v>Unreviewed</x:v>
      </x:c>
      <x:c r="O107" s="51" t="str"/>
      <x:c r="P107" s="51" t="str"/>
      <x:c r="Q107" s="49"/>
      <x:c r="R107" s="49"/>
      <x:c r="S107" s="49"/>
      <x:c r="T107" s="49"/>
      <x:c r="U107" s="49"/>
      <x:c r="V107" s="49"/>
      <x:c r="W107" s="49"/>
      <x:c r="X107" s="49"/>
      <x:c r="Y107" s="49"/>
      <x:c r="Z107" s="49"/>
    </x:row>
    <x:row r="108">
      <x:c r="A108" s="51" t="str">
        <x:v>MM.18.1</x:v>
      </x:c>
      <x:c r="B108" s="51" t="str">
        <x:v>MM.18</x:v>
      </x:c>
      <x:c r="C108" s="59" t="b">
        <x:v>0</x:v>
      </x:c>
      <x:c r="D108" s="51" t="str">
        <x:v>The hospital implements a multidisciplinary policy and procedure on proper storage of narcotics, psychotropic and other controlled medications.</x:v>
      </x:c>
      <x:c r="E108" s="51" t="str"/>
      <x:c r="F108" s="51" t="n">
        <x:v>0</x:v>
      </x:c>
      <x:c r="G108" s="51" t="n">
        <x:v>0</x:v>
      </x:c>
      <x:c r="H108" s="51" t="n">
        <x:v>0</x:v>
      </x:c>
      <x:c r="I108" s="51" t="str">
        <x:v>Missing</x:v>
      </x:c>
      <x:c r="J108" s="51" t="n">
        <x:v>0</x:v>
      </x:c>
      <x:c r="K108" s="51" t="n">
        <x:v>0</x:v>
      </x:c>
      <x:c r="L108" s="51" t="n">
        <x:f>MIN(100,IF(C108,20,0)+F108*45+G108*30+H108*15+IF(I108="CriticalBlocked",30,IF(I108="Blocked",20,IF(I108="Missing",20,IF(I108="Partial",10,0))))+J108*20+K108*10)</x:f>
        <x:v>20</x:v>
      </x:c>
      <x:c r="M108" s="51" t="str">
        <x:f>IF(L108&gt;=75,"Critical",IF(L108&gt;=50,"High",IF(L108&gt;=25,"Moderate","Low")))</x:f>
        <x:v>Low</x:v>
      </x:c>
      <x:c r="N108" s="51" t="str">
        <x:v>Unreviewed</x:v>
      </x:c>
      <x:c r="O108" s="51" t="str"/>
      <x:c r="P108" s="51" t="str"/>
      <x:c r="Q108" s="49"/>
      <x:c r="R108" s="49"/>
      <x:c r="S108" s="49"/>
      <x:c r="T108" s="49"/>
      <x:c r="U108" s="49"/>
      <x:c r="V108" s="49"/>
      <x:c r="W108" s="49"/>
      <x:c r="X108" s="49"/>
      <x:c r="Y108" s="49"/>
      <x:c r="Z108" s="49"/>
    </x:row>
    <x:row r="109">
      <x:c r="A109" s="51" t="str">
        <x:v>MM.18.2</x:v>
      </x:c>
      <x:c r="B109" s="51" t="str">
        <x:v>MM.18</x:v>
      </x:c>
      <x:c r="C109" s="59" t="b">
        <x:v>0</x:v>
      </x:c>
      <x:c r="D109" s="51" t="str">
        <x:v>Controlled and narcotics medications are kept behind steel doors with double locks.</x:v>
      </x:c>
      <x:c r="E109" s="51" t="str"/>
      <x:c r="F109" s="51" t="n">
        <x:v>0</x:v>
      </x:c>
      <x:c r="G109" s="51" t="n">
        <x:v>0</x:v>
      </x:c>
      <x:c r="H109" s="51" t="n">
        <x:v>0</x:v>
      </x:c>
      <x:c r="I109" s="51" t="str">
        <x:v>Missing</x:v>
      </x:c>
      <x:c r="J109" s="51" t="n">
        <x:v>0</x:v>
      </x:c>
      <x:c r="K109" s="51" t="n">
        <x:v>0</x:v>
      </x:c>
      <x:c r="L109" s="51" t="n">
        <x:f>MIN(100,IF(C109,20,0)+F109*45+G109*30+H109*15+IF(I109="CriticalBlocked",30,IF(I109="Blocked",20,IF(I109="Missing",20,IF(I109="Partial",10,0))))+J109*20+K109*10)</x:f>
        <x:v>20</x:v>
      </x:c>
      <x:c r="M109" s="51" t="str">
        <x:f>IF(L109&gt;=75,"Critical",IF(L109&gt;=50,"High",IF(L109&gt;=25,"Moderate","Low")))</x:f>
        <x:v>Low</x:v>
      </x:c>
      <x:c r="N109" s="51" t="str">
        <x:v>Unreviewed</x:v>
      </x:c>
      <x:c r="O109" s="51" t="str"/>
      <x:c r="P109" s="51" t="str"/>
      <x:c r="Q109" s="49"/>
      <x:c r="R109" s="49"/>
      <x:c r="S109" s="49"/>
      <x:c r="T109" s="49"/>
      <x:c r="U109" s="49"/>
      <x:c r="V109" s="49"/>
      <x:c r="W109" s="49"/>
      <x:c r="X109" s="49"/>
      <x:c r="Y109" s="49"/>
      <x:c r="Z109" s="49"/>
    </x:row>
    <x:row r="110">
      <x:c r="A110" s="51" t="str">
        <x:v>MM.18.3</x:v>
      </x:c>
      <x:c r="B110" s="51" t="str">
        <x:v>MM.18</x:v>
      </x:c>
      <x:c r="C110" s="59" t="b">
        <x:v>0</x:v>
      </x:c>
      <x:c r="D110" s="51" t="str">
        <x:v>The hospital allows a limited floor stock supply of controlled and narcotics medications to meet patients’ needs.</x:v>
      </x:c>
      <x:c r="E110" s="51" t="str"/>
      <x:c r="F110" s="51" t="n">
        <x:v>0</x:v>
      </x:c>
      <x:c r="G110" s="51" t="n">
        <x:v>0</x:v>
      </x:c>
      <x:c r="H110" s="51" t="n">
        <x:v>0</x:v>
      </x:c>
      <x:c r="I110" s="51" t="str">
        <x:v>Missing</x:v>
      </x:c>
      <x:c r="J110" s="51" t="n">
        <x:v>0</x:v>
      </x:c>
      <x:c r="K110" s="51" t="n">
        <x:v>0</x:v>
      </x:c>
      <x:c r="L110" s="51" t="n">
        <x:f>MIN(100,IF(C110,20,0)+F110*45+G110*30+H110*15+IF(I110="CriticalBlocked",30,IF(I110="Blocked",20,IF(I110="Missing",20,IF(I110="Partial",10,0))))+J110*20+K110*10)</x:f>
        <x:v>20</x:v>
      </x:c>
      <x:c r="M110" s="51" t="str">
        <x:f>IF(L110&gt;=75,"Critical",IF(L110&gt;=50,"High",IF(L110&gt;=25,"Moderate","Low")))</x:f>
        <x:v>Low</x:v>
      </x:c>
      <x:c r="N110" s="51" t="str">
        <x:v>Unreviewed</x:v>
      </x:c>
      <x:c r="O110" s="51" t="str"/>
      <x:c r="P110" s="51" t="str"/>
      <x:c r="Q110" s="49"/>
      <x:c r="R110" s="49"/>
      <x:c r="S110" s="49"/>
      <x:c r="T110" s="49"/>
      <x:c r="U110" s="49"/>
      <x:c r="V110" s="49"/>
      <x:c r="W110" s="49"/>
      <x:c r="X110" s="49"/>
      <x:c r="Y110" s="49"/>
      <x:c r="Z110" s="49"/>
    </x:row>
    <x:row r="111">
      <x:c r="A111" s="51" t="str">
        <x:v>MM.18.4</x:v>
      </x:c>
      <x:c r="B111" s="51" t="str">
        <x:v>MM.18</x:v>
      </x:c>
      <x:c r="C111" s="59" t="b">
        <x:v>0</x:v>
      </x:c>
      <x:c r="D111" s="51" t="str">
        <x:v>The hospital maintains proper documentation of drug count, endorsement, and accountability.</x:v>
      </x:c>
      <x:c r="E111" s="51" t="str"/>
      <x:c r="F111" s="51" t="n">
        <x:v>0</x:v>
      </x:c>
      <x:c r="G111" s="51" t="n">
        <x:v>0</x:v>
      </x:c>
      <x:c r="H111" s="51" t="n">
        <x:v>0</x:v>
      </x:c>
      <x:c r="I111" s="51" t="str">
        <x:v>Missing</x:v>
      </x:c>
      <x:c r="J111" s="51" t="n">
        <x:v>0</x:v>
      </x:c>
      <x:c r="K111" s="51" t="n">
        <x:v>0</x:v>
      </x:c>
      <x:c r="L111" s="51" t="n">
        <x:f>MIN(100,IF(C111,20,0)+F111*45+G111*30+H111*15+IF(I111="CriticalBlocked",30,IF(I111="Blocked",20,IF(I111="Missing",20,IF(I111="Partial",10,0))))+J111*20+K111*10)</x:f>
        <x:v>20</x:v>
      </x:c>
      <x:c r="M111" s="51" t="str">
        <x:f>IF(L111&gt;=75,"Critical",IF(L111&gt;=50,"High",IF(L111&gt;=25,"Moderate","Low")))</x:f>
        <x:v>Low</x:v>
      </x:c>
      <x:c r="N111" s="51" t="str">
        <x:v>Unreviewed</x:v>
      </x:c>
      <x:c r="O111" s="51" t="str"/>
      <x:c r="P111" s="51" t="str"/>
      <x:c r="Q111" s="49"/>
      <x:c r="R111" s="49"/>
      <x:c r="S111" s="49"/>
      <x:c r="T111" s="49"/>
      <x:c r="U111" s="49"/>
      <x:c r="V111" s="49"/>
      <x:c r="W111" s="49"/>
      <x:c r="X111" s="49"/>
      <x:c r="Y111" s="49"/>
      <x:c r="Z111" s="49"/>
    </x:row>
    <x:row r="112">
      <x:c r="A112" s="51" t="str">
        <x:v>MM.18.5</x:v>
      </x:c>
      <x:c r="B112" s="51" t="str">
        <x:v>MM.18</x:v>
      </x:c>
      <x:c r="C112" s="59" t="b">
        <x:v>0</x:v>
      </x:c>
      <x:c r="D112" s="51" t="str">
        <x:v>The hospital maintains proper documentation of empty containers of narcotics and proper disposal of unused portions.</x:v>
      </x:c>
      <x:c r="E112" s="51" t="str"/>
      <x:c r="F112" s="51" t="n">
        <x:v>0</x:v>
      </x:c>
      <x:c r="G112" s="51" t="n">
        <x:v>0</x:v>
      </x:c>
      <x:c r="H112" s="51" t="n">
        <x:v>0</x:v>
      </x:c>
      <x:c r="I112" s="51" t="str">
        <x:v>Missing</x:v>
      </x:c>
      <x:c r="J112" s="51" t="n">
        <x:v>0</x:v>
      </x:c>
      <x:c r="K112" s="51" t="n">
        <x:v>0</x:v>
      </x:c>
      <x:c r="L112" s="51" t="n">
        <x:f>MIN(100,IF(C112,20,0)+F112*45+G112*30+H112*15+IF(I112="CriticalBlocked",30,IF(I112="Blocked",20,IF(I112="Missing",20,IF(I112="Partial",10,0))))+J112*20+K112*10)</x:f>
        <x:v>20</x:v>
      </x:c>
      <x:c r="M112" s="51" t="str">
        <x:f>IF(L112&gt;=75,"Critical",IF(L112&gt;=50,"High",IF(L112&gt;=25,"Moderate","Low")))</x:f>
        <x:v>Low</x:v>
      </x:c>
      <x:c r="N112" s="51" t="str">
        <x:v>Unreviewed</x:v>
      </x:c>
      <x:c r="O112" s="51" t="str"/>
      <x:c r="P112" s="51" t="str"/>
      <x:c r="Q112" s="49"/>
      <x:c r="R112" s="49"/>
      <x:c r="S112" s="49"/>
      <x:c r="T112" s="49"/>
      <x:c r="U112" s="49"/>
      <x:c r="V112" s="49"/>
      <x:c r="W112" s="49"/>
      <x:c r="X112" s="49"/>
      <x:c r="Y112" s="49"/>
      <x:c r="Z112" s="49"/>
    </x:row>
    <x:row r="113">
      <x:c r="A113" s="51" t="str">
        <x:v>MM.19.1</x:v>
      </x:c>
      <x:c r="B113" s="51" t="str">
        <x:v>MM.19</x:v>
      </x:c>
      <x:c r="C113" s="59" t="b">
        <x:v>0</x:v>
      </x:c>
      <x:c r="D113" s="51" t="str">
        <x:v>The hospital has a multidisciplinary policy and procedure on identification of those individuals permitted to prescribe or order controlled and narcotic medications and their prescribing privileges.</x:v>
      </x:c>
      <x:c r="E113" s="51" t="str"/>
      <x:c r="F113" s="51" t="n">
        <x:v>0</x:v>
      </x:c>
      <x:c r="G113" s="51" t="n">
        <x:v>0</x:v>
      </x:c>
      <x:c r="H113" s="51" t="n">
        <x:v>0</x:v>
      </x:c>
      <x:c r="I113" s="51" t="str">
        <x:v>Missing</x:v>
      </x:c>
      <x:c r="J113" s="51" t="n">
        <x:v>0</x:v>
      </x:c>
      <x:c r="K113" s="51" t="n">
        <x:v>0</x:v>
      </x:c>
      <x:c r="L113" s="51" t="n">
        <x:f>MIN(100,IF(C113,20,0)+F113*45+G113*30+H113*15+IF(I113="CriticalBlocked",30,IF(I113="Blocked",20,IF(I113="Missing",20,IF(I113="Partial",10,0))))+J113*20+K113*10)</x:f>
        <x:v>20</x:v>
      </x:c>
      <x:c r="M113" s="51" t="str">
        <x:f>IF(L113&gt;=75,"Critical",IF(L113&gt;=50,"High",IF(L113&gt;=25,"Moderate","Low")))</x:f>
        <x:v>Low</x:v>
      </x:c>
      <x:c r="N113" s="51" t="str">
        <x:v>Unreviewed</x:v>
      </x:c>
      <x:c r="O113" s="51" t="str"/>
      <x:c r="P113" s="51" t="str"/>
      <x:c r="Q113" s="49"/>
      <x:c r="R113" s="49"/>
      <x:c r="S113" s="49"/>
      <x:c r="T113" s="49"/>
      <x:c r="U113" s="49"/>
      <x:c r="V113" s="49"/>
      <x:c r="W113" s="49"/>
      <x:c r="X113" s="49"/>
      <x:c r="Y113" s="49"/>
      <x:c r="Z113" s="49"/>
    </x:row>
    <x:row r="114">
      <x:c r="A114" s="51" t="str">
        <x:v>MM.19.2</x:v>
      </x:c>
      <x:c r="B114" s="51" t="str">
        <x:v>MM.19</x:v>
      </x:c>
      <x:c r="C114" s="59" t="b">
        <x:v>0</x:v>
      </x:c>
      <x:c r="D114" s="51" t="str">
        <x:v>Only individuals permitted by the hospital and relevant laws and regulations prescribe or order controlled and narcotic medications.</x:v>
      </x:c>
      <x:c r="E114" s="51" t="str"/>
      <x:c r="F114" s="51" t="n">
        <x:v>0</x:v>
      </x:c>
      <x:c r="G114" s="51" t="n">
        <x:v>0</x:v>
      </x:c>
      <x:c r="H114" s="51" t="n">
        <x:v>0</x:v>
      </x:c>
      <x:c r="I114" s="51" t="str">
        <x:v>Missing</x:v>
      </x:c>
      <x:c r="J114" s="51" t="n">
        <x:v>0</x:v>
      </x:c>
      <x:c r="K114" s="51" t="n">
        <x:v>0</x:v>
      </x:c>
      <x:c r="L114" s="51" t="n">
        <x:f>MIN(100,IF(C114,20,0)+F114*45+G114*30+H114*15+IF(I114="CriticalBlocked",30,IF(I114="Blocked",20,IF(I114="Missing",20,IF(I114="Partial",10,0))))+J114*20+K114*10)</x:f>
        <x:v>20</x:v>
      </x:c>
      <x:c r="M114" s="51" t="str">
        <x:f>IF(L114&gt;=75,"Critical",IF(L114&gt;=50,"High",IF(L114&gt;=25,"Moderate","Low")))</x:f>
        <x:v>Low</x:v>
      </x:c>
      <x:c r="N114" s="51" t="str">
        <x:v>Unreviewed</x:v>
      </x:c>
      <x:c r="O114" s="51" t="str"/>
      <x:c r="P114" s="51" t="str"/>
      <x:c r="Q114" s="49"/>
      <x:c r="R114" s="49"/>
      <x:c r="S114" s="49"/>
      <x:c r="T114" s="49"/>
      <x:c r="U114" s="49"/>
      <x:c r="V114" s="49"/>
      <x:c r="W114" s="49"/>
      <x:c r="X114" s="49"/>
      <x:c r="Y114" s="49"/>
      <x:c r="Z114" s="49"/>
    </x:row>
    <x:row r="115">
      <x:c r="A115" s="51" t="str">
        <x:v>MM.19.3</x:v>
      </x:c>
      <x:c r="B115" s="51" t="str">
        <x:v>MM.19</x:v>
      </x:c>
      <x:c r="C115" s="59" t="b">
        <x:v>0</x:v>
      </x:c>
      <x:c r="D115" s="51" t="str">
        <x:v>Individuals permitted to prescribe or order controlled and narcotic medications are known to pharmaceutical care staff and nursing staff who dispense medications.</x:v>
      </x:c>
      <x:c r="E115" s="51" t="str"/>
      <x:c r="F115" s="51" t="n">
        <x:v>0</x:v>
      </x:c>
      <x:c r="G115" s="51" t="n">
        <x:v>0</x:v>
      </x:c>
      <x:c r="H115" s="51" t="n">
        <x:v>0</x:v>
      </x:c>
      <x:c r="I115" s="51" t="str">
        <x:v>Missing</x:v>
      </x:c>
      <x:c r="J115" s="51" t="n">
        <x:v>0</x:v>
      </x:c>
      <x:c r="K115" s="51" t="n">
        <x:v>0</x:v>
      </x:c>
      <x:c r="L115" s="51" t="n">
        <x:f>MIN(100,IF(C115,20,0)+F115*45+G115*30+H115*15+IF(I115="CriticalBlocked",30,IF(I115="Blocked",20,IF(I115="Missing",20,IF(I115="Partial",10,0))))+J115*20+K115*10)</x:f>
        <x:v>20</x:v>
      </x:c>
      <x:c r="M115" s="51" t="str">
        <x:f>IF(L115&gt;=75,"Critical",IF(L115&gt;=50,"High",IF(L115&gt;=25,"Moderate","Low")))</x:f>
        <x:v>Low</x:v>
      </x:c>
      <x:c r="N115" s="51" t="str">
        <x:v>Unreviewed</x:v>
      </x:c>
      <x:c r="O115" s="51" t="str"/>
      <x:c r="P115" s="51" t="str"/>
      <x:c r="Q115" s="49"/>
      <x:c r="R115" s="49"/>
      <x:c r="S115" s="49"/>
      <x:c r="T115" s="49"/>
      <x:c r="U115" s="49"/>
      <x:c r="V115" s="49"/>
      <x:c r="W115" s="49"/>
      <x:c r="X115" s="49"/>
      <x:c r="Y115" s="49"/>
      <x:c r="Z115" s="49"/>
    </x:row>
    <x:row r="116">
      <x:c r="A116" s="51" t="str">
        <x:v>MM.19.4</x:v>
      </x:c>
      <x:c r="B116" s="51" t="str">
        <x:v>MM.19</x:v>
      </x:c>
      <x:c r="C116" s="59" t="b">
        <x:v>0</x:v>
      </x:c>
      <x:c r="D116" s="51" t="str">
        <x:v>The hospital implements its policy on prescribing privileges such as those for controlled and narcotic substances, chemotherapy agents, high-alert, radioactive or investigational, and other specialty medications.</x:v>
      </x:c>
      <x:c r="E116" s="51" t="str"/>
      <x:c r="F116" s="51" t="n">
        <x:v>0</x:v>
      </x:c>
      <x:c r="G116" s="51" t="n">
        <x:v>0</x:v>
      </x:c>
      <x:c r="H116" s="51" t="n">
        <x:v>0</x:v>
      </x:c>
      <x:c r="I116" s="51" t="str">
        <x:v>Missing</x:v>
      </x:c>
      <x:c r="J116" s="51" t="n">
        <x:v>0</x:v>
      </x:c>
      <x:c r="K116" s="51" t="n">
        <x:v>0</x:v>
      </x:c>
      <x:c r="L116" s="51" t="n">
        <x:f>MIN(100,IF(C116,20,0)+F116*45+G116*30+H116*15+IF(I116="CriticalBlocked",30,IF(I116="Blocked",20,IF(I116="Missing",20,IF(I116="Partial",10,0))))+J116*20+K116*10)</x:f>
        <x:v>20</x:v>
      </x:c>
      <x:c r="M116" s="51" t="str">
        <x:f>IF(L116&gt;=75,"Critical",IF(L116&gt;=50,"High",IF(L116&gt;=25,"Moderate","Low")))</x:f>
        <x:v>Low</x:v>
      </x:c>
      <x:c r="N116" s="51" t="str">
        <x:v>Unreviewed</x:v>
      </x:c>
      <x:c r="O116" s="51" t="str"/>
      <x:c r="P116" s="51" t="str"/>
      <x:c r="Q116" s="49"/>
      <x:c r="R116" s="49"/>
      <x:c r="S116" s="49"/>
      <x:c r="T116" s="49"/>
      <x:c r="U116" s="49"/>
      <x:c r="V116" s="49"/>
      <x:c r="W116" s="49"/>
      <x:c r="X116" s="49"/>
      <x:c r="Y116" s="49"/>
      <x:c r="Z116" s="49"/>
    </x:row>
    <x:row r="117">
      <x:c r="A117" s="51" t="str">
        <x:v>MM.20.1</x:v>
      </x:c>
      <x:c r="B117" s="51" t="str">
        <x:v>MM.20</x:v>
      </x:c>
      <x:c r="C117" s="59" t="b">
        <x:v>0</x:v>
      </x:c>
      <x:c r="D117" s="51" t="str">
        <x:v>There is a multidisciplinary policy and procedure that clearly defines a complete prescription.</x:v>
      </x:c>
      <x:c r="E117" s="51" t="str"/>
      <x:c r="F117" s="51" t="n">
        <x:v>0</x:v>
      </x:c>
      <x:c r="G117" s="51" t="n">
        <x:v>0</x:v>
      </x:c>
      <x:c r="H117" s="51" t="n">
        <x:v>0</x:v>
      </x:c>
      <x:c r="I117" s="51" t="str">
        <x:v>Missing</x:v>
      </x:c>
      <x:c r="J117" s="51" t="n">
        <x:v>0</x:v>
      </x:c>
      <x:c r="K117" s="51" t="n">
        <x:v>0</x:v>
      </x:c>
      <x:c r="L117" s="51" t="n">
        <x:f>MIN(100,IF(C117,20,0)+F117*45+G117*30+H117*15+IF(I117="CriticalBlocked",30,IF(I117="Blocked",20,IF(I117="Missing",20,IF(I117="Partial",10,0))))+J117*20+K117*10)</x:f>
        <x:v>20</x:v>
      </x:c>
      <x:c r="M117" s="51" t="str">
        <x:f>IF(L117&gt;=75,"Critical",IF(L117&gt;=50,"High",IF(L117&gt;=25,"Moderate","Low")))</x:f>
        <x:v>Low</x:v>
      </x:c>
      <x:c r="N117" s="51" t="str">
        <x:v>Unreviewed</x:v>
      </x:c>
      <x:c r="O117" s="51" t="str"/>
      <x:c r="P117" s="51" t="str"/>
      <x:c r="Q117" s="49"/>
      <x:c r="R117" s="49"/>
      <x:c r="S117" s="49"/>
      <x:c r="T117" s="49"/>
      <x:c r="U117" s="49"/>
      <x:c r="V117" s="49"/>
      <x:c r="W117" s="49"/>
      <x:c r="X117" s="49"/>
      <x:c r="Y117" s="49"/>
      <x:c r="Z117" s="49"/>
    </x:row>
    <x:row r="118">
      <x:c r="A118" s="51" t="str">
        <x:v>MM.20.2</x:v>
      </x:c>
      <x:c r="B118" s="51" t="str">
        <x:v>MM.20</x:v>
      </x:c>
      <x:c r="C118" s="59" t="b">
        <x:v>0</x:v>
      </x:c>
      <x:c r="D118" s="51" t="str">
        <x:v>All currently prescribed or ordered medications are written in a uniform location in the patient’s medical record.</x:v>
      </x:c>
      <x:c r="E118" s="51" t="str"/>
      <x:c r="F118" s="51" t="n">
        <x:v>0</x:v>
      </x:c>
      <x:c r="G118" s="51" t="n">
        <x:v>0</x:v>
      </x:c>
      <x:c r="H118" s="51" t="n">
        <x:v>0</x:v>
      </x:c>
      <x:c r="I118" s="51" t="str">
        <x:v>Missing</x:v>
      </x:c>
      <x:c r="J118" s="51" t="n">
        <x:v>0</x:v>
      </x:c>
      <x:c r="K118" s="51" t="n">
        <x:v>0</x:v>
      </x:c>
      <x:c r="L118" s="51" t="n">
        <x:f>MIN(100,IF(C118,20,0)+F118*45+G118*30+H118*15+IF(I118="CriticalBlocked",30,IF(I118="Blocked",20,IF(I118="Missing",20,IF(I118="Partial",10,0))))+J118*20+K118*10)</x:f>
        <x:v>20</x:v>
      </x:c>
      <x:c r="M118" s="51" t="str">
        <x:f>IF(L118&gt;=75,"Critical",IF(L118&gt;=50,"High",IF(L118&gt;=25,"Moderate","Low")))</x:f>
        <x:v>Low</x:v>
      </x:c>
      <x:c r="N118" s="51" t="str">
        <x:v>Unreviewed</x:v>
      </x:c>
      <x:c r="O118" s="51" t="str"/>
      <x:c r="P118" s="51" t="str"/>
      <x:c r="Q118" s="49"/>
      <x:c r="R118" s="49"/>
      <x:c r="S118" s="49"/>
      <x:c r="T118" s="49"/>
      <x:c r="U118" s="49"/>
      <x:c r="V118" s="49"/>
      <x:c r="W118" s="49"/>
      <x:c r="X118" s="49"/>
      <x:c r="Y118" s="49"/>
      <x:c r="Z118" s="49"/>
    </x:row>
    <x:row r="119">
      <x:c r="A119" s="51" t="str">
        <x:v>MM.20.3</x:v>
      </x:c>
      <x:c r="B119" s="51" t="str">
        <x:v>MM.20</x:v>
      </x:c>
      <x:c r="C119" s="59" t="b">
        <x:v>0</x:v>
      </x:c>
      <x:c r="D119" s="51" t="str">
        <x:v>Medication reconciliation is conducted at the time of admission and discharge.</x:v>
      </x:c>
      <x:c r="E119" s="51" t="str"/>
      <x:c r="F119" s="51" t="n">
        <x:v>0</x:v>
      </x:c>
      <x:c r="G119" s="51" t="n">
        <x:v>0</x:v>
      </x:c>
      <x:c r="H119" s="51" t="n">
        <x:v>0</x:v>
      </x:c>
      <x:c r="I119" s="51" t="str">
        <x:v>Missing</x:v>
      </x:c>
      <x:c r="J119" s="51" t="n">
        <x:v>0</x:v>
      </x:c>
      <x:c r="K119" s="51" t="n">
        <x:v>0</x:v>
      </x:c>
      <x:c r="L119" s="51" t="n">
        <x:f>MIN(100,IF(C119,20,0)+F119*45+G119*30+H119*15+IF(I119="CriticalBlocked",30,IF(I119="Blocked",20,IF(I119="Missing",20,IF(I119="Partial",10,0))))+J119*20+K119*10)</x:f>
        <x:v>20</x:v>
      </x:c>
      <x:c r="M119" s="51" t="str">
        <x:f>IF(L119&gt;=75,"Critical",IF(L119&gt;=50,"High",IF(L119&gt;=25,"Moderate","Low")))</x:f>
        <x:v>Low</x:v>
      </x:c>
      <x:c r="N119" s="51" t="str">
        <x:v>Unreviewed</x:v>
      </x:c>
      <x:c r="O119" s="51" t="str"/>
      <x:c r="P119" s="51" t="str"/>
      <x:c r="Q119" s="49"/>
      <x:c r="R119" s="49"/>
      <x:c r="S119" s="49"/>
      <x:c r="T119" s="49"/>
      <x:c r="U119" s="49"/>
      <x:c r="V119" s="49"/>
      <x:c r="W119" s="49"/>
      <x:c r="X119" s="49"/>
      <x:c r="Y119" s="49"/>
      <x:c r="Z119" s="49"/>
    </x:row>
    <x:row r="120">
      <x:c r="A120" s="51" t="str">
        <x:v>MM.20.4</x:v>
      </x:c>
      <x:c r="B120" s="51" t="str">
        <x:v>MM.20</x:v>
      </x:c>
      <x:c r="C120" s="59" t="b">
        <x:v>0</x:v>
      </x:c>
      <x:c r="D120" s="51" t="str">
        <x:v>Patient identification, diagnosis, indication, or clinical condition are made available with each medication order.</x:v>
      </x:c>
      <x:c r="E120" s="51" t="str"/>
      <x:c r="F120" s="51" t="n">
        <x:v>0</x:v>
      </x:c>
      <x:c r="G120" s="51" t="n">
        <x:v>0</x:v>
      </x:c>
      <x:c r="H120" s="51" t="n">
        <x:v>0</x:v>
      </x:c>
      <x:c r="I120" s="51" t="str">
        <x:v>Missing</x:v>
      </x:c>
      <x:c r="J120" s="51" t="n">
        <x:v>0</x:v>
      </x:c>
      <x:c r="K120" s="51" t="n">
        <x:v>0</x:v>
      </x:c>
      <x:c r="L120" s="51" t="n">
        <x:f>MIN(100,IF(C120,20,0)+F120*45+G120*30+H120*15+IF(I120="CriticalBlocked",30,IF(I120="Blocked",20,IF(I120="Missing",20,IF(I120="Partial",10,0))))+J120*20+K120*10)</x:f>
        <x:v>20</x:v>
      </x:c>
      <x:c r="M120" s="51" t="str">
        <x:f>IF(L120&gt;=75,"Critical",IF(L120&gt;=50,"High",IF(L120&gt;=25,"Moderate","Low")))</x:f>
        <x:v>Low</x:v>
      </x:c>
      <x:c r="N120" s="51" t="str">
        <x:v>Unreviewed</x:v>
      </x:c>
      <x:c r="O120" s="51" t="str"/>
      <x:c r="P120" s="51" t="str"/>
      <x:c r="Q120" s="49"/>
      <x:c r="R120" s="49"/>
      <x:c r="S120" s="49"/>
      <x:c r="T120" s="49"/>
      <x:c r="U120" s="49"/>
      <x:c r="V120" s="49"/>
      <x:c r="W120" s="49"/>
      <x:c r="X120" s="49"/>
      <x:c r="Y120" s="49"/>
      <x:c r="Z120" s="49"/>
    </x:row>
    <x:row r="121">
      <x:c r="A121" s="51" t="str">
        <x:v>MM.20.5</x:v>
      </x:c>
      <x:c r="B121" s="51" t="str">
        <x:v>MM.20</x:v>
      </x:c>
      <x:c r="C121" s="59" t="b">
        <x:v>0</x:v>
      </x:c>
      <x:c r="D121" s="51" t="str">
        <x:v>Medications are prescribed by generic name except when brand names are acceptable or required.</x:v>
      </x:c>
      <x:c r="E121" s="51" t="str"/>
      <x:c r="F121" s="51" t="n">
        <x:v>0</x:v>
      </x:c>
      <x:c r="G121" s="51" t="n">
        <x:v>0</x:v>
      </x:c>
      <x:c r="H121" s="51" t="n">
        <x:v>0</x:v>
      </x:c>
      <x:c r="I121" s="51" t="str">
        <x:v>Missing</x:v>
      </x:c>
      <x:c r="J121" s="51" t="n">
        <x:v>0</x:v>
      </x:c>
      <x:c r="K121" s="51" t="n">
        <x:v>0</x:v>
      </x:c>
      <x:c r="L121" s="51" t="n">
        <x:f>MIN(100,IF(C121,20,0)+F121*45+G121*30+H121*15+IF(I121="CriticalBlocked",30,IF(I121="Blocked",20,IF(I121="Missing",20,IF(I121="Partial",10,0))))+J121*20+K121*10)</x:f>
        <x:v>20</x:v>
      </x:c>
      <x:c r="M121" s="51" t="str">
        <x:f>IF(L121&gt;=75,"Critical",IF(L121&gt;=50,"High",IF(L121&gt;=25,"Moderate","Low")))</x:f>
        <x:v>Low</x:v>
      </x:c>
      <x:c r="N121" s="51" t="str">
        <x:v>Unreviewed</x:v>
      </x:c>
      <x:c r="O121" s="51" t="str"/>
      <x:c r="P121" s="51" t="str"/>
      <x:c r="Q121" s="49"/>
      <x:c r="R121" s="49"/>
      <x:c r="S121" s="49"/>
      <x:c r="T121" s="49"/>
      <x:c r="U121" s="49"/>
      <x:c r="V121" s="49"/>
      <x:c r="W121" s="49"/>
      <x:c r="X121" s="49"/>
      <x:c r="Y121" s="49"/>
      <x:c r="Z121" s="49"/>
    </x:row>
    <x:row r="122">
      <x:c r="A122" s="51" t="str">
        <x:v>MM.20.6</x:v>
      </x:c>
      <x:c r="B122" s="51" t="str">
        <x:v>MM.20</x:v>
      </x:c>
      <x:c r="C122" s="59" t="b">
        <x:v>0</x:v>
      </x:c>
      <x:c r="D122" s="51" t="str">
        <x:v>Staff comply with the proper use of approved and prohibited prescribing abbreviations.</x:v>
      </x:c>
      <x:c r="E122" s="51" t="str"/>
      <x:c r="F122" s="51" t="n">
        <x:v>0</x:v>
      </x:c>
      <x:c r="G122" s="51" t="n">
        <x:v>0</x:v>
      </x:c>
      <x:c r="H122" s="51" t="n">
        <x:v>0</x:v>
      </x:c>
      <x:c r="I122" s="51" t="str">
        <x:v>Missing</x:v>
      </x:c>
      <x:c r="J122" s="51" t="n">
        <x:v>0</x:v>
      </x:c>
      <x:c r="K122" s="51" t="n">
        <x:v>0</x:v>
      </x:c>
      <x:c r="L122" s="51" t="n">
        <x:f>MIN(100,IF(C122,20,0)+F122*45+G122*30+H122*15+IF(I122="CriticalBlocked",30,IF(I122="Blocked",20,IF(I122="Missing",20,IF(I122="Partial",10,0))))+J122*20+K122*10)</x:f>
        <x:v>20</x:v>
      </x:c>
      <x:c r="M122" s="51" t="str">
        <x:f>IF(L122&gt;=75,"Critical",IF(L122&gt;=50,"High",IF(L122&gt;=25,"Moderate","Low")))</x:f>
        <x:v>Low</x:v>
      </x:c>
      <x:c r="N122" s="51" t="str">
        <x:v>Unreviewed</x:v>
      </x:c>
      <x:c r="O122" s="51" t="str"/>
      <x:c r="P122" s="51" t="str"/>
      <x:c r="Q122" s="49"/>
      <x:c r="R122" s="49"/>
      <x:c r="S122" s="49"/>
      <x:c r="T122" s="49"/>
      <x:c r="U122" s="49"/>
      <x:c r="V122" s="49"/>
      <x:c r="W122" s="49"/>
      <x:c r="X122" s="49"/>
      <x:c r="Y122" s="49"/>
      <x:c r="Z122" s="49"/>
    </x:row>
    <x:row r="123">
      <x:c r="A123" s="51" t="str">
        <x:v>MM.20.7</x:v>
      </x:c>
      <x:c r="B123" s="51" t="str">
        <x:v>MM.20</x:v>
      </x:c>
      <x:c r="C123" s="59" t="b">
        <x:v>0</x:v>
      </x:c>
      <x:c r="D123" s="51" t="str">
        <x:v>The pharmaceutical care team conducts corrective actions when medication order is incomplete, illegible, or unclear.</x:v>
      </x:c>
      <x:c r="E123" s="51" t="str"/>
      <x:c r="F123" s="51" t="n">
        <x:v>0</x:v>
      </x:c>
      <x:c r="G123" s="51" t="n">
        <x:v>0</x:v>
      </x:c>
      <x:c r="H123" s="51" t="n">
        <x:v>0</x:v>
      </x:c>
      <x:c r="I123" s="51" t="str">
        <x:v>Missing</x:v>
      </x:c>
      <x:c r="J123" s="51" t="n">
        <x:v>0</x:v>
      </x:c>
      <x:c r="K123" s="51" t="n">
        <x:v>0</x:v>
      </x:c>
      <x:c r="L123" s="51" t="n">
        <x:f>MIN(100,IF(C123,20,0)+F123*45+G123*30+H123*15+IF(I123="CriticalBlocked",30,IF(I123="Blocked",20,IF(I123="Missing",20,IF(I123="Partial",10,0))))+J123*20+K123*10)</x:f>
        <x:v>20</x:v>
      </x:c>
      <x:c r="M123" s="51" t="str">
        <x:f>IF(L123&gt;=75,"Critical",IF(L123&gt;=50,"High",IF(L123&gt;=25,"Moderate","Low")))</x:f>
        <x:v>Low</x:v>
      </x:c>
      <x:c r="N123" s="51" t="str">
        <x:v>Unreviewed</x:v>
      </x:c>
      <x:c r="O123" s="51" t="str"/>
      <x:c r="P123" s="51" t="str"/>
      <x:c r="Q123" s="49"/>
      <x:c r="R123" s="49"/>
      <x:c r="S123" s="49"/>
      <x:c r="T123" s="49"/>
      <x:c r="U123" s="49"/>
      <x:c r="V123" s="49"/>
      <x:c r="W123" s="49"/>
      <x:c r="X123" s="49"/>
      <x:c r="Y123" s="49"/>
      <x:c r="Z123" s="49"/>
    </x:row>
    <x:row r="124">
      <x:c r="A124" s="51" t="str">
        <x:v>MM.20.8</x:v>
      </x:c>
      <x:c r="B124" s="51" t="str">
        <x:v>MM.20</x:v>
      </x:c>
      <x:c r="C124" s="59" t="b">
        <x:v>0</x:v>
      </x:c>
      <x:c r="D124" s="51" t="str">
        <x:v>All medications are accurately transcribed into the medication administration record (MAR) after being verified against the original physician order or prescription.</x:v>
      </x:c>
      <x:c r="E124" s="51" t="str"/>
      <x:c r="F124" s="51" t="n">
        <x:v>0</x:v>
      </x:c>
      <x:c r="G124" s="51" t="n">
        <x:v>0</x:v>
      </x:c>
      <x:c r="H124" s="51" t="n">
        <x:v>0</x:v>
      </x:c>
      <x:c r="I124" s="51" t="str">
        <x:v>Missing</x:v>
      </x:c>
      <x:c r="J124" s="51" t="n">
        <x:v>0</x:v>
      </x:c>
      <x:c r="K124" s="51" t="n">
        <x:v>0</x:v>
      </x:c>
      <x:c r="L124" s="51" t="n">
        <x:f>MIN(100,IF(C124,20,0)+F124*45+G124*30+H124*15+IF(I124="CriticalBlocked",30,IF(I124="Blocked",20,IF(I124="Missing",20,IF(I124="Partial",10,0))))+J124*20+K124*10)</x:f>
        <x:v>20</x:v>
      </x:c>
      <x:c r="M124" s="51" t="str">
        <x:f>IF(L124&gt;=75,"Critical",IF(L124&gt;=50,"High",IF(L124&gt;=25,"Moderate","Low")))</x:f>
        <x:v>Low</x:v>
      </x:c>
      <x:c r="N124" s="51" t="str">
        <x:v>Unreviewed</x:v>
      </x:c>
      <x:c r="O124" s="51" t="str"/>
      <x:c r="P124" s="51" t="str"/>
      <x:c r="Q124" s="49"/>
      <x:c r="R124" s="49"/>
      <x:c r="S124" s="49"/>
      <x:c r="T124" s="49"/>
      <x:c r="U124" s="49"/>
      <x:c r="V124" s="49"/>
      <x:c r="W124" s="49"/>
      <x:c r="X124" s="49"/>
      <x:c r="Y124" s="49"/>
      <x:c r="Z124" s="49"/>
    </x:row>
    <x:row r="125">
      <x:c r="A125" s="51" t="str">
        <x:v>MM.21.1</x:v>
      </x:c>
      <x:c r="B125" s="51" t="str">
        <x:v>MM.21</x:v>
      </x:c>
      <x:c r="C125" s="59" t="b">
        <x:v>0</x:v>
      </x:c>
      <x:c r="D125" s="51" t="str">
        <x:v>The hospital implements a policy and procedure on specific types of medication orders including as needed (PRN), standing, automatic stop (ASO), titrating, tapering, range, weight- based, body surface area-based medication orders, and discharge or transfer orders.</x:v>
      </x:c>
      <x:c r="E125" s="51" t="str"/>
      <x:c r="F125" s="51" t="n">
        <x:v>0</x:v>
      </x:c>
      <x:c r="G125" s="51" t="n">
        <x:v>0</x:v>
      </x:c>
      <x:c r="H125" s="51" t="n">
        <x:v>0</x:v>
      </x:c>
      <x:c r="I125" s="51" t="str">
        <x:v>Missing</x:v>
      </x:c>
      <x:c r="J125" s="51" t="n">
        <x:v>0</x:v>
      </x:c>
      <x:c r="K125" s="51" t="n">
        <x:v>0</x:v>
      </x:c>
      <x:c r="L125" s="51" t="n">
        <x:f>MIN(100,IF(C125,20,0)+F125*45+G125*30+H125*15+IF(I125="CriticalBlocked",30,IF(I125="Blocked",20,IF(I125="Missing",20,IF(I125="Partial",10,0))))+J125*20+K125*10)</x:f>
        <x:v>20</x:v>
      </x:c>
      <x:c r="M125" s="51" t="str">
        <x:f>IF(L125&gt;=75,"Critical",IF(L125&gt;=50,"High",IF(L125&gt;=25,"Moderate","Low")))</x:f>
        <x:v>Low</x:v>
      </x:c>
      <x:c r="N125" s="51" t="str">
        <x:v>Unreviewed</x:v>
      </x:c>
      <x:c r="O125" s="51" t="str"/>
      <x:c r="P125" s="51" t="str"/>
      <x:c r="Q125" s="49"/>
      <x:c r="R125" s="49"/>
      <x:c r="S125" s="49"/>
      <x:c r="T125" s="49"/>
      <x:c r="U125" s="49"/>
      <x:c r="V125" s="49"/>
      <x:c r="W125" s="49"/>
      <x:c r="X125" s="49"/>
      <x:c r="Y125" s="49"/>
      <x:c r="Z125" s="49"/>
    </x:row>
    <x:row r="126">
      <x:c r="A126" s="51" t="str">
        <x:v>MM.21.2</x:v>
      </x:c>
      <x:c r="B126" s="51" t="str">
        <x:v>MM.21</x:v>
      </x:c>
      <x:c r="C126" s="59" t="b">
        <x:v>0</x:v>
      </x:c>
      <x:c r="D126" s="51" t="str">
        <x:v>The hospital prohibits blanket orders (e.g., resume pre- op medications).</x:v>
      </x:c>
      <x:c r="E126" s="51" t="str"/>
      <x:c r="F126" s="51" t="n">
        <x:v>0</x:v>
      </x:c>
      <x:c r="G126" s="51" t="n">
        <x:v>0</x:v>
      </x:c>
      <x:c r="H126" s="51" t="n">
        <x:v>0</x:v>
      </x:c>
      <x:c r="I126" s="51" t="str">
        <x:v>Missing</x:v>
      </x:c>
      <x:c r="J126" s="51" t="n">
        <x:v>0</x:v>
      </x:c>
      <x:c r="K126" s="51" t="n">
        <x:v>0</x:v>
      </x:c>
      <x:c r="L126" s="51" t="n">
        <x:f>MIN(100,IF(C126,20,0)+F126*45+G126*30+H126*15+IF(I126="CriticalBlocked",30,IF(I126="Blocked",20,IF(I126="Missing",20,IF(I126="Partial",10,0))))+J126*20+K126*10)</x:f>
        <x:v>20</x:v>
      </x:c>
      <x:c r="M126" s="51" t="str">
        <x:f>IF(L126&gt;=75,"Critical",IF(L126&gt;=50,"High",IF(L126&gt;=25,"Moderate","Low")))</x:f>
        <x:v>Low</x:v>
      </x:c>
      <x:c r="N126" s="51" t="str">
        <x:v>Unreviewed</x:v>
      </x:c>
      <x:c r="O126" s="51" t="str"/>
      <x:c r="P126" s="51" t="str"/>
      <x:c r="Q126" s="49"/>
      <x:c r="R126" s="49"/>
      <x:c r="S126" s="49"/>
      <x:c r="T126" s="49"/>
      <x:c r="U126" s="49"/>
      <x:c r="V126" s="49"/>
      <x:c r="W126" s="49"/>
      <x:c r="X126" s="49"/>
      <x:c r="Y126" s="49"/>
      <x:c r="Z126" s="49"/>
    </x:row>
    <x:row r="127">
      <x:c r="A127" s="51" t="str">
        <x:v>MM.21.3</x:v>
      </x:c>
      <x:c r="B127" s="51" t="str">
        <x:v>MM.21</x:v>
      </x:c>
      <x:c r="C127" s="59" t="b">
        <x:v>0</x:v>
      </x:c>
      <x:c r="D127" s="51" t="str">
        <x:v>Prescribing controlled drugs is according to laws and regulations of the Saudi Food and rug Authority and other relevant authorities.</x:v>
      </x:c>
      <x:c r="E127" s="51" t="str"/>
      <x:c r="F127" s="51" t="n">
        <x:v>0</x:v>
      </x:c>
      <x:c r="G127" s="51" t="n">
        <x:v>0</x:v>
      </x:c>
      <x:c r="H127" s="51" t="n">
        <x:v>0</x:v>
      </x:c>
      <x:c r="I127" s="51" t="str">
        <x:v>Missing</x:v>
      </x:c>
      <x:c r="J127" s="51" t="n">
        <x:v>0</x:v>
      </x:c>
      <x:c r="K127" s="51" t="n">
        <x:v>0</x:v>
      </x:c>
      <x:c r="L127" s="51" t="n">
        <x:f>MIN(100,IF(C127,20,0)+F127*45+G127*30+H127*15+IF(I127="CriticalBlocked",30,IF(I127="Blocked",20,IF(I127="Missing",20,IF(I127="Partial",10,0))))+J127*20+K127*10)</x:f>
        <x:v>20</x:v>
      </x:c>
      <x:c r="M127" s="51" t="str">
        <x:f>IF(L127&gt;=75,"Critical",IF(L127&gt;=50,"High",IF(L127&gt;=25,"Moderate","Low")))</x:f>
        <x:v>Low</x:v>
      </x:c>
      <x:c r="N127" s="51" t="str">
        <x:v>Unreviewed</x:v>
      </x:c>
      <x:c r="O127" s="51" t="str"/>
      <x:c r="P127" s="51" t="str"/>
      <x:c r="Q127" s="49"/>
      <x:c r="R127" s="49"/>
      <x:c r="S127" s="49"/>
      <x:c r="T127" s="49"/>
      <x:c r="U127" s="49"/>
      <x:c r="V127" s="49"/>
      <x:c r="W127" s="49"/>
      <x:c r="X127" s="49"/>
      <x:c r="Y127" s="49"/>
      <x:c r="Z127" s="49"/>
    </x:row>
    <x:row r="128">
      <x:c r="A128" s="51" t="str">
        <x:v>MM.21.4</x:v>
      </x:c>
      <x:c r="B128" s="51" t="str">
        <x:v>MM.21</x:v>
      </x:c>
      <x:c r="C128" s="59" t="b">
        <x:v>0</x:v>
      </x:c>
      <x:c r="D128" s="51" t="str">
        <x:v>The transcription of medication order into the medication administration record (MAR) clearly reflects the type of order.</x:v>
      </x:c>
      <x:c r="E128" s="51" t="str"/>
      <x:c r="F128" s="51" t="n">
        <x:v>0</x:v>
      </x:c>
      <x:c r="G128" s="51" t="n">
        <x:v>0</x:v>
      </x:c>
      <x:c r="H128" s="51" t="n">
        <x:v>0</x:v>
      </x:c>
      <x:c r="I128" s="51" t="str">
        <x:v>Missing</x:v>
      </x:c>
      <x:c r="J128" s="51" t="n">
        <x:v>0</x:v>
      </x:c>
      <x:c r="K128" s="51" t="n">
        <x:v>0</x:v>
      </x:c>
      <x:c r="L128" s="51" t="n">
        <x:f>MIN(100,IF(C128,20,0)+F128*45+G128*30+H128*15+IF(I128="CriticalBlocked",30,IF(I128="Blocked",20,IF(I128="Missing",20,IF(I128="Partial",10,0))))+J128*20+K128*10)</x:f>
        <x:v>20</x:v>
      </x:c>
      <x:c r="M128" s="51" t="str">
        <x:f>IF(L128&gt;=75,"Critical",IF(L128&gt;=50,"High",IF(L128&gt;=25,"Moderate","Low")))</x:f>
        <x:v>Low</x:v>
      </x:c>
      <x:c r="N128" s="51" t="str">
        <x:v>Unreviewed</x:v>
      </x:c>
      <x:c r="O128" s="51" t="str"/>
      <x:c r="P128" s="51" t="str"/>
      <x:c r="Q128" s="49"/>
      <x:c r="R128" s="49"/>
      <x:c r="S128" s="49"/>
      <x:c r="T128" s="49"/>
      <x:c r="U128" s="49"/>
      <x:c r="V128" s="49"/>
      <x:c r="W128" s="49"/>
      <x:c r="X128" s="49"/>
      <x:c r="Y128" s="49"/>
      <x:c r="Z128" s="49"/>
    </x:row>
    <x:row r="129">
      <x:c r="A129" s="51" t="str">
        <x:v>MM.22.1</x:v>
      </x:c>
      <x:c r="B129" s="51" t="str">
        <x:v>MM.22</x:v>
      </x:c>
      <x:c r="C129" s="59" t="b">
        <x:v>0</x:v>
      </x:c>
      <x:c r="D129" s="51" t="str">
        <x:v>The hospital implements updated and approved multidisciplinary guidelines on the proper prescribing of antibiotics.</x:v>
      </x:c>
      <x:c r="E129" s="51" t="str"/>
      <x:c r="F129" s="51" t="n">
        <x:v>0</x:v>
      </x:c>
      <x:c r="G129" s="51" t="n">
        <x:v>0</x:v>
      </x:c>
      <x:c r="H129" s="51" t="n">
        <x:v>0</x:v>
      </x:c>
      <x:c r="I129" s="51" t="str">
        <x:v>Missing</x:v>
      </x:c>
      <x:c r="J129" s="51" t="n">
        <x:v>0</x:v>
      </x:c>
      <x:c r="K129" s="51" t="n">
        <x:v>0</x:v>
      </x:c>
      <x:c r="L129" s="51" t="n">
        <x:f>MIN(100,IF(C129,20,0)+F129*45+G129*30+H129*15+IF(I129="CriticalBlocked",30,IF(I129="Blocked",20,IF(I129="Missing",20,IF(I129="Partial",10,0))))+J129*20+K129*10)</x:f>
        <x:v>20</x:v>
      </x:c>
      <x:c r="M129" s="51" t="str">
        <x:f>IF(L129&gt;=75,"Critical",IF(L129&gt;=50,"High",IF(L129&gt;=25,"Moderate","Low")))</x:f>
        <x:v>Low</x:v>
      </x:c>
      <x:c r="N129" s="51" t="str">
        <x:v>Unreviewed</x:v>
      </x:c>
      <x:c r="O129" s="51" t="str"/>
      <x:c r="P129" s="51" t="str"/>
      <x:c r="Q129" s="49"/>
      <x:c r="R129" s="49"/>
      <x:c r="S129" s="49"/>
      <x:c r="T129" s="49"/>
      <x:c r="U129" s="49"/>
      <x:c r="V129" s="49"/>
      <x:c r="W129" s="49"/>
      <x:c r="X129" s="49"/>
      <x:c r="Y129" s="49"/>
      <x:c r="Z129" s="49"/>
    </x:row>
    <x:row r="130">
      <x:c r="A130" s="51" t="str">
        <x:v>MM.22.2</x:v>
      </x:c>
      <x:c r="B130" s="51" t="str">
        <x:v>MM.22</x:v>
      </x:c>
      <x:c r="C130" s="59" t="b">
        <x:v>0</x:v>
      </x:c>
      <x:c r="D130" s="51" t="str">
        <x:v>The antibiotics guidelines are updated as recommended by the pharmacy and therapeutics committee utilizing the hospital anti- biogram.</x:v>
      </x:c>
      <x:c r="E130" s="51" t="str"/>
      <x:c r="F130" s="51" t="n">
        <x:v>0</x:v>
      </x:c>
      <x:c r="G130" s="51" t="n">
        <x:v>0</x:v>
      </x:c>
      <x:c r="H130" s="51" t="n">
        <x:v>0</x:v>
      </x:c>
      <x:c r="I130" s="51" t="str">
        <x:v>Missing</x:v>
      </x:c>
      <x:c r="J130" s="51" t="n">
        <x:v>0</x:v>
      </x:c>
      <x:c r="K130" s="51" t="n">
        <x:v>0</x:v>
      </x:c>
      <x:c r="L130" s="51" t="n">
        <x:f>MIN(100,IF(C130,20,0)+F130*45+G130*30+H130*15+IF(I130="CriticalBlocked",30,IF(I130="Blocked",20,IF(I130="Missing",20,IF(I130="Partial",10,0))))+J130*20+K130*10)</x:f>
        <x:v>20</x:v>
      </x:c>
      <x:c r="M130" s="51" t="str">
        <x:f>IF(L130&gt;=75,"Critical",IF(L130&gt;=50,"High",IF(L130&gt;=25,"Moderate","Low")))</x:f>
        <x:v>Low</x:v>
      </x:c>
      <x:c r="N130" s="51" t="str">
        <x:v>Unreviewed</x:v>
      </x:c>
      <x:c r="O130" s="51" t="str"/>
      <x:c r="P130" s="51" t="str"/>
      <x:c r="Q130" s="49"/>
      <x:c r="R130" s="49"/>
      <x:c r="S130" s="49"/>
      <x:c r="T130" s="49"/>
      <x:c r="U130" s="49"/>
      <x:c r="V130" s="49"/>
      <x:c r="W130" s="49"/>
      <x:c r="X130" s="49"/>
      <x:c r="Y130" s="49"/>
      <x:c r="Z130" s="49"/>
    </x:row>
    <x:row r="131">
      <x:c r="A131" s="51" t="str">
        <x:v>MM.22.3</x:v>
      </x:c>
      <x:c r="B131" s="51" t="str">
        <x:v>MM.22</x:v>
      </x:c>
      <x:c r="C131" s="59" t="b">
        <x:v>0</x:v>
      </x:c>
      <x:c r="D131" s="51" t="str">
        <x:v>There is proper implementation of the approved guidelines for antibiotics prophylaxis before surgery and/or dental procedures.</x:v>
      </x:c>
      <x:c r="E131" s="51" t="str"/>
      <x:c r="F131" s="51" t="n">
        <x:v>0</x:v>
      </x:c>
      <x:c r="G131" s="51" t="n">
        <x:v>0</x:v>
      </x:c>
      <x:c r="H131" s="51" t="n">
        <x:v>0</x:v>
      </x:c>
      <x:c r="I131" s="51" t="str">
        <x:v>Missing</x:v>
      </x:c>
      <x:c r="J131" s="51" t="n">
        <x:v>0</x:v>
      </x:c>
      <x:c r="K131" s="51" t="n">
        <x:v>0</x:v>
      </x:c>
      <x:c r="L131" s="51" t="n">
        <x:f>MIN(100,IF(C131,20,0)+F131*45+G131*30+H131*15+IF(I131="CriticalBlocked",30,IF(I131="Blocked",20,IF(I131="Missing",20,IF(I131="Partial",10,0))))+J131*20+K131*10)</x:f>
        <x:v>20</x:v>
      </x:c>
      <x:c r="M131" s="51" t="str">
        <x:f>IF(L131&gt;=75,"Critical",IF(L131&gt;=50,"High",IF(L131&gt;=25,"Moderate","Low")))</x:f>
        <x:v>Low</x:v>
      </x:c>
      <x:c r="N131" s="51" t="str">
        <x:v>Unreviewed</x:v>
      </x:c>
      <x:c r="O131" s="51" t="str"/>
      <x:c r="P131" s="51" t="str"/>
      <x:c r="Q131" s="49"/>
      <x:c r="R131" s="49"/>
      <x:c r="S131" s="49"/>
      <x:c r="T131" s="49"/>
      <x:c r="U131" s="49"/>
      <x:c r="V131" s="49"/>
      <x:c r="W131" s="49"/>
      <x:c r="X131" s="49"/>
      <x:c r="Y131" s="49"/>
      <x:c r="Z131" s="49"/>
    </x:row>
    <x:row r="132">
      <x:c r="A132" s="51" t="str">
        <x:v>MM.22.4</x:v>
      </x:c>
      <x:c r="B132" s="51" t="str">
        <x:v>MM.22</x:v>
      </x:c>
      <x:c r="C132" s="59" t="b">
        <x:v>0</x:v>
      </x:c>
      <x:c r="D132" s="51" t="str">
        <x:v>There is proper implementation of the approved guidelines for empiric and therapeutic use of antibiotics.</x:v>
      </x:c>
      <x:c r="E132" s="51" t="str"/>
      <x:c r="F132" s="51" t="n">
        <x:v>0</x:v>
      </x:c>
      <x:c r="G132" s="51" t="n">
        <x:v>0</x:v>
      </x:c>
      <x:c r="H132" s="51" t="n">
        <x:v>0</x:v>
      </x:c>
      <x:c r="I132" s="51" t="str">
        <x:v>Missing</x:v>
      </x:c>
      <x:c r="J132" s="51" t="n">
        <x:v>0</x:v>
      </x:c>
      <x:c r="K132" s="51" t="n">
        <x:v>0</x:v>
      </x:c>
      <x:c r="L132" s="51" t="n">
        <x:f>MIN(100,IF(C132,20,0)+F132*45+G132*30+H132*15+IF(I132="CriticalBlocked",30,IF(I132="Blocked",20,IF(I132="Missing",20,IF(I132="Partial",10,0))))+J132*20+K132*10)</x:f>
        <x:v>20</x:v>
      </x:c>
      <x:c r="M132" s="51" t="str">
        <x:f>IF(L132&gt;=75,"Critical",IF(L132&gt;=50,"High",IF(L132&gt;=25,"Moderate","Low")))</x:f>
        <x:v>Low</x:v>
      </x:c>
      <x:c r="N132" s="51" t="str">
        <x:v>Unreviewed</x:v>
      </x:c>
      <x:c r="O132" s="51" t="str"/>
      <x:c r="P132" s="51" t="str"/>
      <x:c r="Q132" s="49"/>
      <x:c r="R132" s="49"/>
      <x:c r="S132" s="49"/>
      <x:c r="T132" s="49"/>
      <x:c r="U132" s="49"/>
      <x:c r="V132" s="49"/>
      <x:c r="W132" s="49"/>
      <x:c r="X132" s="49"/>
      <x:c r="Y132" s="49"/>
      <x:c r="Z132" s="49"/>
    </x:row>
    <x:row r="133">
      <x:c r="A133" s="51" t="str">
        <x:v>MM.22.5</x:v>
      </x:c>
      <x:c r="B133" s="51" t="str">
        <x:v>MM.22</x:v>
      </x:c>
      <x:c r="C133" s="59" t="b">
        <x:v>0</x:v>
      </x:c>
      <x:c r="D133" s="51" t="str">
        <x:v>There is proper implementation of the approved prescribing privileges for antibiotics.</x:v>
      </x:c>
      <x:c r="E133" s="51" t="str"/>
      <x:c r="F133" s="51" t="n">
        <x:v>0</x:v>
      </x:c>
      <x:c r="G133" s="51" t="n">
        <x:v>0</x:v>
      </x:c>
      <x:c r="H133" s="51" t="n">
        <x:v>0</x:v>
      </x:c>
      <x:c r="I133" s="51" t="str">
        <x:v>Missing</x:v>
      </x:c>
      <x:c r="J133" s="51" t="n">
        <x:v>0</x:v>
      </x:c>
      <x:c r="K133" s="51" t="n">
        <x:v>0</x:v>
      </x:c>
      <x:c r="L133" s="51" t="n">
        <x:f>MIN(100,IF(C133,20,0)+F133*45+G133*30+H133*15+IF(I133="CriticalBlocked",30,IF(I133="Blocked",20,IF(I133="Missing",20,IF(I133="Partial",10,0))))+J133*20+K133*10)</x:f>
        <x:v>20</x:v>
      </x:c>
      <x:c r="M133" s="51" t="str">
        <x:f>IF(L133&gt;=75,"Critical",IF(L133&gt;=50,"High",IF(L133&gt;=25,"Moderate","Low")))</x:f>
        <x:v>Low</x:v>
      </x:c>
      <x:c r="N133" s="51" t="str">
        <x:v>Unreviewed</x:v>
      </x:c>
      <x:c r="O133" s="51" t="str"/>
      <x:c r="P133" s="51" t="str"/>
      <x:c r="Q133" s="49"/>
      <x:c r="R133" s="49"/>
      <x:c r="S133" s="49"/>
      <x:c r="T133" s="49"/>
      <x:c r="U133" s="49"/>
      <x:c r="V133" s="49"/>
      <x:c r="W133" s="49"/>
      <x:c r="X133" s="49"/>
      <x:c r="Y133" s="49"/>
      <x:c r="Z133" s="49"/>
    </x:row>
    <x:row r="134">
      <x:c r="A134" s="51" t="str">
        <x:v>MM.23.1</x:v>
      </x:c>
      <x:c r="B134" s="51" t="str">
        <x:v>MM.23</x:v>
      </x:c>
      <x:c r="C134" s="59" t="b">
        <x:v>0</x:v>
      </x:c>
      <x:c r="D134" s="51" t="str">
        <x:v>The hospital has a multidisciplinary policy and procedure that control ordering, verifying, authenticating and limiting the use of verbal and telephone orders of medications. The policy includes a list of medications not allowed to be prescribed by verbal and telephone order.</x:v>
      </x:c>
      <x:c r="E134" s="51" t="str"/>
      <x:c r="F134" s="51" t="n">
        <x:v>0</x:v>
      </x:c>
      <x:c r="G134" s="51" t="n">
        <x:v>0</x:v>
      </x:c>
      <x:c r="H134" s="51" t="n">
        <x:v>0</x:v>
      </x:c>
      <x:c r="I134" s="51" t="str">
        <x:v>Missing</x:v>
      </x:c>
      <x:c r="J134" s="51" t="n">
        <x:v>0</x:v>
      </x:c>
      <x:c r="K134" s="51" t="n">
        <x:v>0</x:v>
      </x:c>
      <x:c r="L134" s="51" t="n">
        <x:f>MIN(100,IF(C134,20,0)+F134*45+G134*30+H134*15+IF(I134="CriticalBlocked",30,IF(I134="Blocked",20,IF(I134="Missing",20,IF(I134="Partial",10,0))))+J134*20+K134*10)</x:f>
        <x:v>20</x:v>
      </x:c>
      <x:c r="M134" s="51" t="str">
        <x:f>IF(L134&gt;=75,"Critical",IF(L134&gt;=50,"High",IF(L134&gt;=25,"Moderate","Low")))</x:f>
        <x:v>Low</x:v>
      </x:c>
      <x:c r="N134" s="51" t="str">
        <x:v>Unreviewed</x:v>
      </x:c>
      <x:c r="O134" s="51" t="str"/>
      <x:c r="P134" s="51" t="str"/>
      <x:c r="Q134" s="49"/>
      <x:c r="R134" s="49"/>
      <x:c r="S134" s="49"/>
      <x:c r="T134" s="49"/>
      <x:c r="U134" s="49"/>
      <x:c r="V134" s="49"/>
      <x:c r="W134" s="49"/>
      <x:c r="X134" s="49"/>
      <x:c r="Y134" s="49"/>
      <x:c r="Z134" s="49"/>
    </x:row>
    <x:row r="135">
      <x:c r="A135" s="51" t="str">
        <x:v>MM.23.2</x:v>
      </x:c>
      <x:c r="B135" s="51" t="str">
        <x:v>MM.23</x:v>
      </x:c>
      <x:c r="C135" s="59" t="b">
        <x:v>0</x:v>
      </x:c>
      <x:c r="D135" s="51" t="str">
        <x:v>The hospital staff understand the proper use of verbal and telephone orders (accepting, documenting, verifying, authenticating, and executing orders).</x:v>
      </x:c>
      <x:c r="E135" s="51" t="str"/>
      <x:c r="F135" s="51" t="n">
        <x:v>0</x:v>
      </x:c>
      <x:c r="G135" s="51" t="n">
        <x:v>0</x:v>
      </x:c>
      <x:c r="H135" s="51" t="n">
        <x:v>0</x:v>
      </x:c>
      <x:c r="I135" s="51" t="str">
        <x:v>Missing</x:v>
      </x:c>
      <x:c r="J135" s="51" t="n">
        <x:v>0</x:v>
      </x:c>
      <x:c r="K135" s="51" t="n">
        <x:v>0</x:v>
      </x:c>
      <x:c r="L135" s="51" t="n">
        <x:f>MIN(100,IF(C135,20,0)+F135*45+G135*30+H135*15+IF(I135="CriticalBlocked",30,IF(I135="Blocked",20,IF(I135="Missing",20,IF(I135="Partial",10,0))))+J135*20+K135*10)</x:f>
        <x:v>20</x:v>
      </x:c>
      <x:c r="M135" s="51" t="str">
        <x:f>IF(L135&gt;=75,"Critical",IF(L135&gt;=50,"High",IF(L135&gt;=25,"Moderate","Low")))</x:f>
        <x:v>Low</x:v>
      </x:c>
      <x:c r="N135" s="51" t="str">
        <x:v>Unreviewed</x:v>
      </x:c>
      <x:c r="O135" s="51" t="str"/>
      <x:c r="P135" s="51" t="str"/>
      <x:c r="Q135" s="49"/>
      <x:c r="R135" s="49"/>
      <x:c r="S135" s="49"/>
      <x:c r="T135" s="49"/>
      <x:c r="U135" s="49"/>
      <x:c r="V135" s="49"/>
      <x:c r="W135" s="49"/>
      <x:c r="X135" s="49"/>
      <x:c r="Y135" s="49"/>
      <x:c r="Z135" s="49"/>
    </x:row>
    <x:row r="136">
      <x:c r="A136" s="51" t="str">
        <x:v>MM.23.3</x:v>
      </x:c>
      <x:c r="B136" s="51" t="str">
        <x:v>MM.23</x:v>
      </x:c>
      <x:c r="C136" s="59" t="b">
        <x:v>0</x:v>
      </x:c>
      <x:c r="D136" s="51" t="str">
        <x:v>Verbal and telephone orders are limited to emergent and urgent situation where immediate written or electronic medication order is not feasible. lear definition of emergent and urgent situations should be included.</x:v>
      </x:c>
      <x:c r="E136" s="51" t="str"/>
      <x:c r="F136" s="51" t="n">
        <x:v>0</x:v>
      </x:c>
      <x:c r="G136" s="51" t="n">
        <x:v>0</x:v>
      </x:c>
      <x:c r="H136" s="51" t="n">
        <x:v>0</x:v>
      </x:c>
      <x:c r="I136" s="51" t="str">
        <x:v>Missing</x:v>
      </x:c>
      <x:c r="J136" s="51" t="n">
        <x:v>0</x:v>
      </x:c>
      <x:c r="K136" s="51" t="n">
        <x:v>0</x:v>
      </x:c>
      <x:c r="L136" s="51" t="n">
        <x:f>MIN(100,IF(C136,20,0)+F136*45+G136*30+H136*15+IF(I136="CriticalBlocked",30,IF(I136="Blocked",20,IF(I136="Missing",20,IF(I136="Partial",10,0))))+J136*20+K136*10)</x:f>
        <x:v>20</x:v>
      </x:c>
      <x:c r="M136" s="51" t="str">
        <x:f>IF(L136&gt;=75,"Critical",IF(L136&gt;=50,"High",IF(L136&gt;=25,"Moderate","Low")))</x:f>
        <x:v>Low</x:v>
      </x:c>
      <x:c r="N136" s="51" t="str">
        <x:v>Unreviewed</x:v>
      </x:c>
      <x:c r="O136" s="51" t="str"/>
      <x:c r="P136" s="51" t="str"/>
      <x:c r="Q136" s="49"/>
      <x:c r="R136" s="49"/>
      <x:c r="S136" s="49"/>
      <x:c r="T136" s="49"/>
      <x:c r="U136" s="49"/>
      <x:c r="V136" s="49"/>
      <x:c r="W136" s="49"/>
      <x:c r="X136" s="49"/>
      <x:c r="Y136" s="49"/>
      <x:c r="Z136" s="49"/>
    </x:row>
    <x:row r="137">
      <x:c r="A137" s="51" t="str">
        <x:v>MM.23.4</x:v>
      </x:c>
      <x:c r="B137" s="51" t="str">
        <x:v>MM.23</x:v>
      </x:c>
      <x:c r="C137" s="59" t="b">
        <x:v>0</x:v>
      </x:c>
      <x:c r="D137" s="51" t="str">
        <x:v>Time frame for , authentication of verbal (as soon as the emergency is over) and telephone orders (within twenty four hours) is clearly stated and implemented.</x:v>
      </x:c>
      <x:c r="E137" s="51" t="str"/>
      <x:c r="F137" s="51" t="n">
        <x:v>0</x:v>
      </x:c>
      <x:c r="G137" s="51" t="n">
        <x:v>0</x:v>
      </x:c>
      <x:c r="H137" s="51" t="n">
        <x:v>0</x:v>
      </x:c>
      <x:c r="I137" s="51" t="str">
        <x:v>Missing</x:v>
      </x:c>
      <x:c r="J137" s="51" t="n">
        <x:v>0</x:v>
      </x:c>
      <x:c r="K137" s="51" t="n">
        <x:v>0</x:v>
      </x:c>
      <x:c r="L137" s="51" t="n">
        <x:f>MIN(100,IF(C137,20,0)+F137*45+G137*30+H137*15+IF(I137="CriticalBlocked",30,IF(I137="Blocked",20,IF(I137="Missing",20,IF(I137="Partial",10,0))))+J137*20+K137*10)</x:f>
        <x:v>20</x:v>
      </x:c>
      <x:c r="M137" s="51" t="str">
        <x:f>IF(L137&gt;=75,"Critical",IF(L137&gt;=50,"High",IF(L137&gt;=25,"Moderate","Low")))</x:f>
        <x:v>Low</x:v>
      </x:c>
      <x:c r="N137" s="51" t="str">
        <x:v>Unreviewed</x:v>
      </x:c>
      <x:c r="O137" s="51" t="str"/>
      <x:c r="P137" s="51" t="str"/>
      <x:c r="Q137" s="49"/>
      <x:c r="R137" s="49"/>
      <x:c r="S137" s="49"/>
      <x:c r="T137" s="49"/>
      <x:c r="U137" s="49"/>
      <x:c r="V137" s="49"/>
      <x:c r="W137" s="49"/>
      <x:c r="X137" s="49"/>
      <x:c r="Y137" s="49"/>
      <x:c r="Z137" s="49"/>
    </x:row>
    <x:row r="138">
      <x:c r="A138" s="51" t="str">
        <x:v>MM.24.1</x:v>
      </x:c>
      <x:c r="B138" s="51" t="str">
        <x:v>MM.24</x:v>
      </x:c>
      <x:c r="C138" s="59" t="b">
        <x:v>0</x:v>
      </x:c>
      <x:c r="D138" s="51" t="str">
        <x:v>The hospital has a multidisciplinary policy and procedure on prescribing non-formulary medications.</x:v>
      </x:c>
      <x:c r="E138" s="51" t="str"/>
      <x:c r="F138" s="51" t="n">
        <x:v>0</x:v>
      </x:c>
      <x:c r="G138" s="51" t="n">
        <x:v>0</x:v>
      </x:c>
      <x:c r="H138" s="51" t="n">
        <x:v>0</x:v>
      </x:c>
      <x:c r="I138" s="51" t="str">
        <x:v>Missing</x:v>
      </x:c>
      <x:c r="J138" s="51" t="n">
        <x:v>0</x:v>
      </x:c>
      <x:c r="K138" s="51" t="n">
        <x:v>0</x:v>
      </x:c>
      <x:c r="L138" s="51" t="n">
        <x:f>MIN(100,IF(C138,20,0)+F138*45+G138*30+H138*15+IF(I138="CriticalBlocked",30,IF(I138="Blocked",20,IF(I138="Missing",20,IF(I138="Partial",10,0))))+J138*20+K138*10)</x:f>
        <x:v>20</x:v>
      </x:c>
      <x:c r="M138" s="51" t="str">
        <x:f>IF(L138&gt;=75,"Critical",IF(L138&gt;=50,"High",IF(L138&gt;=25,"Moderate","Low")))</x:f>
        <x:v>Low</x:v>
      </x:c>
      <x:c r="N138" s="51" t="str">
        <x:v>Unreviewed</x:v>
      </x:c>
      <x:c r="O138" s="51" t="str"/>
      <x:c r="P138" s="51" t="str"/>
      <x:c r="Q138" s="49"/>
      <x:c r="R138" s="49"/>
      <x:c r="S138" s="49"/>
      <x:c r="T138" s="49"/>
      <x:c r="U138" s="49"/>
      <x:c r="V138" s="49"/>
      <x:c r="W138" s="49"/>
      <x:c r="X138" s="49"/>
      <x:c r="Y138" s="49"/>
      <x:c r="Z138" s="49"/>
    </x:row>
    <x:row r="139">
      <x:c r="A139" s="51" t="str">
        <x:v>MM.24.2</x:v>
      </x:c>
      <x:c r="B139" s="51" t="str">
        <x:v>MM.24</x:v>
      </x:c>
      <x:c r="C139" s="59" t="b">
        <x:v>0</x:v>
      </x:c>
      <x:c r="D139" s="51" t="str">
        <x:v>The hospital has a multidisciplinary policy and procedure on prescribing formulary medications for off- label (unapproved) indications.</x:v>
      </x:c>
      <x:c r="E139" s="51" t="str"/>
      <x:c r="F139" s="51" t="n">
        <x:v>0</x:v>
      </x:c>
      <x:c r="G139" s="51" t="n">
        <x:v>0</x:v>
      </x:c>
      <x:c r="H139" s="51" t="n">
        <x:v>0</x:v>
      </x:c>
      <x:c r="I139" s="51" t="str">
        <x:v>Missing</x:v>
      </x:c>
      <x:c r="J139" s="51" t="n">
        <x:v>0</x:v>
      </x:c>
      <x:c r="K139" s="51" t="n">
        <x:v>0</x:v>
      </x:c>
      <x:c r="L139" s="51" t="n">
        <x:f>MIN(100,IF(C139,20,0)+F139*45+G139*30+H139*15+IF(I139="CriticalBlocked",30,IF(I139="Blocked",20,IF(I139="Missing",20,IF(I139="Partial",10,0))))+J139*20+K139*10)</x:f>
        <x:v>20</x:v>
      </x:c>
      <x:c r="M139" s="51" t="str">
        <x:f>IF(L139&gt;=75,"Critical",IF(L139&gt;=50,"High",IF(L139&gt;=25,"Moderate","Low")))</x:f>
        <x:v>Low</x:v>
      </x:c>
      <x:c r="N139" s="51" t="str">
        <x:v>Unreviewed</x:v>
      </x:c>
      <x:c r="O139" s="51" t="str"/>
      <x:c r="P139" s="51" t="str"/>
      <x:c r="Q139" s="49"/>
      <x:c r="R139" s="49"/>
      <x:c r="S139" s="49"/>
      <x:c r="T139" s="49"/>
      <x:c r="U139" s="49"/>
      <x:c r="V139" s="49"/>
      <x:c r="W139" s="49"/>
      <x:c r="X139" s="49"/>
      <x:c r="Y139" s="49"/>
      <x:c r="Z139" s="49"/>
    </x:row>
    <x:row r="140">
      <x:c r="A140" s="51" t="str">
        <x:v>MM.24.3</x:v>
      </x:c>
      <x:c r="B140" s="51" t="str">
        <x:v>MM.24</x:v>
      </x:c>
      <x:c r="C140" s="59" t="b">
        <x:v>0</x:v>
      </x:c>
      <x:c r="D140" s="51" t="str">
        <x:v>There is clear documentation, on a special request form, of every individual case where non-formulary medication is used.</x:v>
      </x:c>
      <x:c r="E140" s="51" t="str"/>
      <x:c r="F140" s="51" t="n">
        <x:v>0</x:v>
      </x:c>
      <x:c r="G140" s="51" t="n">
        <x:v>0</x:v>
      </x:c>
      <x:c r="H140" s="51" t="n">
        <x:v>0</x:v>
      </x:c>
      <x:c r="I140" s="51" t="str">
        <x:v>Missing</x:v>
      </x:c>
      <x:c r="J140" s="51" t="n">
        <x:v>0</x:v>
      </x:c>
      <x:c r="K140" s="51" t="n">
        <x:v>0</x:v>
      </x:c>
      <x:c r="L140" s="51" t="n">
        <x:f>MIN(100,IF(C140,20,0)+F140*45+G140*30+H140*15+IF(I140="CriticalBlocked",30,IF(I140="Blocked",20,IF(I140="Missing",20,IF(I140="Partial",10,0))))+J140*20+K140*10)</x:f>
        <x:v>20</x:v>
      </x:c>
      <x:c r="M140" s="51" t="str">
        <x:f>IF(L140&gt;=75,"Critical",IF(L140&gt;=50,"High",IF(L140&gt;=25,"Moderate","Low")))</x:f>
        <x:v>Low</x:v>
      </x:c>
      <x:c r="N140" s="51" t="str">
        <x:v>Unreviewed</x:v>
      </x:c>
      <x:c r="O140" s="51" t="str"/>
      <x:c r="P140" s="51" t="str"/>
      <x:c r="Q140" s="49"/>
      <x:c r="R140" s="49"/>
      <x:c r="S140" s="49"/>
      <x:c r="T140" s="49"/>
      <x:c r="U140" s="49"/>
      <x:c r="V140" s="49"/>
      <x:c r="W140" s="49"/>
      <x:c r="X140" s="49"/>
      <x:c r="Y140" s="49"/>
      <x:c r="Z140" s="49"/>
    </x:row>
    <x:row r="141">
      <x:c r="A141" s="51" t="str">
        <x:v>MM.24.4</x:v>
      </x:c>
      <x:c r="B141" s="51" t="str">
        <x:v>MM.24</x:v>
      </x:c>
      <x:c r="C141" s="59" t="b">
        <x:v>0</x:v>
      </x:c>
      <x:c r="D141" s="51" t="str">
        <x:v>There is clear documentation, on a special request form, of every individual case where a formulary medication is used for unapproved indication or investigation.</x:v>
      </x:c>
      <x:c r="E141" s="51" t="str"/>
      <x:c r="F141" s="51" t="n">
        <x:v>0</x:v>
      </x:c>
      <x:c r="G141" s="51" t="n">
        <x:v>0</x:v>
      </x:c>
      <x:c r="H141" s="51" t="n">
        <x:v>0</x:v>
      </x:c>
      <x:c r="I141" s="51" t="str">
        <x:v>Missing</x:v>
      </x:c>
      <x:c r="J141" s="51" t="n">
        <x:v>0</x:v>
      </x:c>
      <x:c r="K141" s="51" t="n">
        <x:v>0</x:v>
      </x:c>
      <x:c r="L141" s="51" t="n">
        <x:f>MIN(100,IF(C141,20,0)+F141*45+G141*30+H141*15+IF(I141="CriticalBlocked",30,IF(I141="Blocked",20,IF(I141="Missing",20,IF(I141="Partial",10,0))))+J141*20+K141*10)</x:f>
        <x:v>20</x:v>
      </x:c>
      <x:c r="M141" s="51" t="str">
        <x:f>IF(L141&gt;=75,"Critical",IF(L141&gt;=50,"High",IF(L141&gt;=25,"Moderate","Low")))</x:f>
        <x:v>Low</x:v>
      </x:c>
      <x:c r="N141" s="51" t="str">
        <x:v>Unreviewed</x:v>
      </x:c>
      <x:c r="O141" s="51" t="str"/>
      <x:c r="P141" s="51" t="str"/>
      <x:c r="Q141" s="49"/>
      <x:c r="R141" s="49"/>
      <x:c r="S141" s="49"/>
      <x:c r="T141" s="49"/>
      <x:c r="U141" s="49"/>
      <x:c r="V141" s="49"/>
      <x:c r="W141" s="49"/>
      <x:c r="X141" s="49"/>
      <x:c r="Y141" s="49"/>
      <x:c r="Z141" s="49"/>
    </x:row>
    <x:row r="142">
      <x:c r="A142" s="51" t="str">
        <x:v>MM.24.5</x:v>
      </x:c>
      <x:c r="B142" s="51" t="str">
        <x:v>MM.24</x:v>
      </x:c>
      <x:c r="C142" s="59" t="b">
        <x:v>0</x:v>
      </x:c>
      <x:c r="D142" s="51" t="str">
        <x:v>The department head approves every single case where non-formulary medication is used or where a formulary medication is used for unapproved indication or investigation.</x:v>
      </x:c>
      <x:c r="E142" s="51" t="str"/>
      <x:c r="F142" s="51" t="n">
        <x:v>0</x:v>
      </x:c>
      <x:c r="G142" s="51" t="n">
        <x:v>0</x:v>
      </x:c>
      <x:c r="H142" s="51" t="n">
        <x:v>0</x:v>
      </x:c>
      <x:c r="I142" s="51" t="str">
        <x:v>Missing</x:v>
      </x:c>
      <x:c r="J142" s="51" t="n">
        <x:v>0</x:v>
      </x:c>
      <x:c r="K142" s="51" t="n">
        <x:v>0</x:v>
      </x:c>
      <x:c r="L142" s="51" t="n">
        <x:f>MIN(100,IF(C142,20,0)+F142*45+G142*30+H142*15+IF(I142="CriticalBlocked",30,IF(I142="Blocked",20,IF(I142="Missing",20,IF(I142="Partial",10,0))))+J142*20+K142*10)</x:f>
        <x:v>20</x:v>
      </x:c>
      <x:c r="M142" s="51" t="str">
        <x:f>IF(L142&gt;=75,"Critical",IF(L142&gt;=50,"High",IF(L142&gt;=25,"Moderate","Low")))</x:f>
        <x:v>Low</x:v>
      </x:c>
      <x:c r="N142" s="51" t="str">
        <x:v>Unreviewed</x:v>
      </x:c>
      <x:c r="O142" s="51" t="str"/>
      <x:c r="P142" s="51" t="str"/>
      <x:c r="Q142" s="49"/>
      <x:c r="R142" s="49"/>
      <x:c r="S142" s="49"/>
      <x:c r="T142" s="49"/>
      <x:c r="U142" s="49"/>
      <x:c r="V142" s="49"/>
      <x:c r="W142" s="49"/>
      <x:c r="X142" s="49"/>
      <x:c r="Y142" s="49"/>
      <x:c r="Z142" s="49"/>
    </x:row>
    <x:row r="143">
      <x:c r="A143" s="51" t="str">
        <x:v>MM.24.6</x:v>
      </x:c>
      <x:c r="B143" s="51" t="str">
        <x:v>MM.24</x:v>
      </x:c>
      <x:c r="C143" s="59" t="b">
        <x:v>0</x:v>
      </x:c>
      <x:c r="D143" s="51" t="str">
        <x:v>The pharmacy and H C therapeutics committee reviews and monitors all cases of using nonformulary medication and all cases of using formulary medication for unapproved indication or investigation.</x:v>
      </x:c>
      <x:c r="E143" s="51" t="str"/>
      <x:c r="F143" s="51" t="n">
        <x:v>0</x:v>
      </x:c>
      <x:c r="G143" s="51" t="n">
        <x:v>0</x:v>
      </x:c>
      <x:c r="H143" s="51" t="n">
        <x:v>0</x:v>
      </x:c>
      <x:c r="I143" s="51" t="str">
        <x:v>Missing</x:v>
      </x:c>
      <x:c r="J143" s="51" t="n">
        <x:v>0</x:v>
      </x:c>
      <x:c r="K143" s="51" t="n">
        <x:v>0</x:v>
      </x:c>
      <x:c r="L143" s="51" t="n">
        <x:f>MIN(100,IF(C143,20,0)+F143*45+G143*30+H143*15+IF(I143="CriticalBlocked",30,IF(I143="Blocked",20,IF(I143="Missing",20,IF(I143="Partial",10,0))))+J143*20+K143*10)</x:f>
        <x:v>20</x:v>
      </x:c>
      <x:c r="M143" s="51" t="str">
        <x:f>IF(L143&gt;=75,"Critical",IF(L143&gt;=50,"High",IF(L143&gt;=25,"Moderate","Low")))</x:f>
        <x:v>Low</x:v>
      </x:c>
      <x:c r="N143" s="51" t="str">
        <x:v>Unreviewed</x:v>
      </x:c>
      <x:c r="O143" s="51" t="str"/>
      <x:c r="P143" s="51" t="str"/>
      <x:c r="Q143" s="49"/>
      <x:c r="R143" s="49"/>
      <x:c r="S143" s="49"/>
      <x:c r="T143" s="49"/>
      <x:c r="U143" s="49"/>
      <x:c r="V143" s="49"/>
      <x:c r="W143" s="49"/>
      <x:c r="X143" s="49"/>
      <x:c r="Y143" s="49"/>
      <x:c r="Z143" s="49"/>
    </x:row>
    <x:row r="144">
      <x:c r="A144" s="51" t="str">
        <x:v>MM.25.1</x:v>
      </x:c>
      <x:c r="B144" s="51" t="str">
        <x:v>MM.25</x:v>
      </x:c>
      <x:c r="C144" s="59" t="b">
        <x:v>0</x:v>
      </x:c>
      <x:c r="D144" s="51" t="str">
        <x:v>The hospital maintains an updated and complete medication profile (electronic or paper record) for each patient in the pharmaceutical care department.</x:v>
      </x:c>
      <x:c r="E144" s="51" t="str"/>
      <x:c r="F144" s="51" t="n">
        <x:v>0</x:v>
      </x:c>
      <x:c r="G144" s="51" t="n">
        <x:v>0</x:v>
      </x:c>
      <x:c r="H144" s="51" t="n">
        <x:v>0</x:v>
      </x:c>
      <x:c r="I144" s="51" t="str">
        <x:v>Missing</x:v>
      </x:c>
      <x:c r="J144" s="51" t="n">
        <x:v>0</x:v>
      </x:c>
      <x:c r="K144" s="51" t="n">
        <x:v>0</x:v>
      </x:c>
      <x:c r="L144" s="51" t="n">
        <x:f>MIN(100,IF(C144,20,0)+F144*45+G144*30+H144*15+IF(I144="CriticalBlocked",30,IF(I144="Blocked",20,IF(I144="Missing",20,IF(I144="Partial",10,0))))+J144*20+K144*10)</x:f>
        <x:v>20</x:v>
      </x:c>
      <x:c r="M144" s="51" t="str">
        <x:f>IF(L144&gt;=75,"Critical",IF(L144&gt;=50,"High",IF(L144&gt;=25,"Moderate","Low")))</x:f>
        <x:v>Low</x:v>
      </x:c>
      <x:c r="N144" s="51" t="str">
        <x:v>Unreviewed</x:v>
      </x:c>
      <x:c r="O144" s="51" t="str"/>
      <x:c r="P144" s="51" t="str"/>
      <x:c r="Q144" s="49"/>
      <x:c r="R144" s="49"/>
      <x:c r="S144" s="49"/>
      <x:c r="T144" s="49"/>
      <x:c r="U144" s="49"/>
      <x:c r="V144" s="49"/>
      <x:c r="W144" s="49"/>
      <x:c r="X144" s="49"/>
      <x:c r="Y144" s="49"/>
      <x:c r="Z144" s="49"/>
    </x:row>
    <x:row r="145">
      <x:c r="A145" s="51" t="str">
        <x:v>MM.25.2</x:v>
      </x:c>
      <x:c r="B145" s="51" t="str">
        <x:v>MM.25</x:v>
      </x:c>
      <x:c r="C145" s="59" t="b">
        <x:v>0</x:v>
      </x:c>
      <x:c r="D145" s="51" t="str">
        <x:v>A trained pharmacist reviews all medication orders or prescriptions before dispensing (except in emergencies, life saving situations, or diagnostic imaging where the prescriber is physically present).</x:v>
      </x:c>
      <x:c r="E145" s="51" t="str"/>
      <x:c r="F145" s="51" t="n">
        <x:v>0</x:v>
      </x:c>
      <x:c r="G145" s="51" t="n">
        <x:v>0</x:v>
      </x:c>
      <x:c r="H145" s="51" t="n">
        <x:v>0</x:v>
      </x:c>
      <x:c r="I145" s="51" t="str">
        <x:v>Missing</x:v>
      </x:c>
      <x:c r="J145" s="51" t="n">
        <x:v>0</x:v>
      </x:c>
      <x:c r="K145" s="51" t="n">
        <x:v>0</x:v>
      </x:c>
      <x:c r="L145" s="51" t="n">
        <x:f>MIN(100,IF(C145,20,0)+F145*45+G145*30+H145*15+IF(I145="CriticalBlocked",30,IF(I145="Blocked",20,IF(I145="Missing",20,IF(I145="Partial",10,0))))+J145*20+K145*10)</x:f>
        <x:v>20</x:v>
      </x:c>
      <x:c r="M145" s="51" t="str">
        <x:f>IF(L145&gt;=75,"Critical",IF(L145&gt;=50,"High",IF(L145&gt;=25,"Moderate","Low")))</x:f>
        <x:v>Low</x:v>
      </x:c>
      <x:c r="N145" s="51" t="str">
        <x:v>Unreviewed</x:v>
      </x:c>
      <x:c r="O145" s="51" t="str"/>
      <x:c r="P145" s="51" t="str"/>
      <x:c r="Q145" s="49"/>
      <x:c r="R145" s="49"/>
      <x:c r="S145" s="49"/>
      <x:c r="T145" s="49"/>
      <x:c r="U145" s="49"/>
      <x:c r="V145" s="49"/>
      <x:c r="W145" s="49"/>
      <x:c r="X145" s="49"/>
      <x:c r="Y145" s="49"/>
      <x:c r="Z145" s="49"/>
    </x:row>
    <x:row r="146">
      <x:c r="A146" s="51" t="str">
        <x:v>MM.25.3</x:v>
      </x:c>
      <x:c r="B146" s="51" t="str">
        <x:v>MM.25</x:v>
      </x:c>
      <x:c r="C146" s="59" t="b">
        <x:v>0</x:v>
      </x:c>
      <x:c r="D146" s="51" t="str">
        <x:v>All medication orders are reviewed for: MM.25.3.1 Patient’s allergies or sensitivities. MM.25.3.2 Approved indications for use. MM.25.3.3 Therapeutic duplications. MM.25.3.4 Existing or potential interactions (drug-drug and drug-food interactions). MM.25.3.5 Appropriateness of the medication dose, frequency, and route of administration. MM.25.3.6 Contraindications.</x:v>
      </x:c>
      <x:c r="E146" s="51" t="str"/>
      <x:c r="F146" s="51" t="n">
        <x:v>0</x:v>
      </x:c>
      <x:c r="G146" s="51" t="n">
        <x:v>0</x:v>
      </x:c>
      <x:c r="H146" s="51" t="n">
        <x:v>0</x:v>
      </x:c>
      <x:c r="I146" s="51" t="str">
        <x:v>Missing</x:v>
      </x:c>
      <x:c r="J146" s="51" t="n">
        <x:v>0</x:v>
      </x:c>
      <x:c r="K146" s="51" t="n">
        <x:v>0</x:v>
      </x:c>
      <x:c r="L146" s="51" t="n">
        <x:f>MIN(100,IF(C146,20,0)+F146*45+G146*30+H146*15+IF(I146="CriticalBlocked",30,IF(I146="Blocked",20,IF(I146="Missing",20,IF(I146="Partial",10,0))))+J146*20+K146*10)</x:f>
        <x:v>20</x:v>
      </x:c>
      <x:c r="M146" s="51" t="str">
        <x:f>IF(L146&gt;=75,"Critical",IF(L146&gt;=50,"High",IF(L146&gt;=25,"Moderate","Low")))</x:f>
        <x:v>Low</x:v>
      </x:c>
      <x:c r="N146" s="51" t="str">
        <x:v>Unreviewed</x:v>
      </x:c>
      <x:c r="O146" s="51" t="str"/>
      <x:c r="P146" s="51" t="str"/>
      <x:c r="Q146" s="49"/>
      <x:c r="R146" s="49"/>
      <x:c r="S146" s="49"/>
      <x:c r="T146" s="49"/>
      <x:c r="U146" s="49"/>
      <x:c r="V146" s="49"/>
      <x:c r="W146" s="49"/>
      <x:c r="X146" s="49"/>
      <x:c r="Y146" s="49"/>
      <x:c r="Z146" s="49"/>
    </x:row>
    <x:row r="147">
      <x:c r="A147" s="51" t="str">
        <x:v>MM.25.4</x:v>
      </x:c>
      <x:c r="B147" s="51" t="str">
        <x:v>MM.25</x:v>
      </x:c>
      <x:c r="C147" s="59" t="b">
        <x:v>0</x:v>
      </x:c>
      <x:c r="D147" s="51" t="str">
        <x:v>All issues, concerns, or questions regarding medication order or prescription are clarified with the prescriber and documented before medication dispensing.</x:v>
      </x:c>
      <x:c r="E147" s="51" t="str"/>
      <x:c r="F147" s="51" t="n">
        <x:v>0</x:v>
      </x:c>
      <x:c r="G147" s="51" t="n">
        <x:v>0</x:v>
      </x:c>
      <x:c r="H147" s="51" t="n">
        <x:v>0</x:v>
      </x:c>
      <x:c r="I147" s="51" t="str">
        <x:v>Missing</x:v>
      </x:c>
      <x:c r="J147" s="51" t="n">
        <x:v>0</x:v>
      </x:c>
      <x:c r="K147" s="51" t="n">
        <x:v>0</x:v>
      </x:c>
      <x:c r="L147" s="51" t="n">
        <x:f>MIN(100,IF(C147,20,0)+F147*45+G147*30+H147*15+IF(I147="CriticalBlocked",30,IF(I147="Blocked",20,IF(I147="Missing",20,IF(I147="Partial",10,0))))+J147*20+K147*10)</x:f>
        <x:v>20</x:v>
      </x:c>
      <x:c r="M147" s="51" t="str">
        <x:f>IF(L147&gt;=75,"Critical",IF(L147&gt;=50,"High",IF(L147&gt;=25,"Moderate","Low")))</x:f>
        <x:v>Low</x:v>
      </x:c>
      <x:c r="N147" s="51" t="str">
        <x:v>Unreviewed</x:v>
      </x:c>
      <x:c r="O147" s="51" t="str"/>
      <x:c r="P147" s="51" t="str"/>
      <x:c r="Q147" s="49"/>
      <x:c r="R147" s="49"/>
      <x:c r="S147" s="49"/>
      <x:c r="T147" s="49"/>
      <x:c r="U147" s="49"/>
      <x:c r="V147" s="49"/>
      <x:c r="W147" s="49"/>
      <x:c r="X147" s="49"/>
      <x:c r="Y147" s="49"/>
      <x:c r="Z147" s="49"/>
    </x:row>
    <x:row r="148">
      <x:c r="A148" s="51" t="str">
        <x:v>MM.26.1</x:v>
      </x:c>
      <x:c r="B148" s="51" t="str">
        <x:v>MM.26</x:v>
      </x:c>
      <x:c r="C148" s="59" t="b">
        <x:v>0</x:v>
      </x:c>
      <x:c r="D148" s="51" t="str">
        <x:v>The hospital has a manual for proper aseptic technique and intravenous admixture (e.g., the guidelines of the Saudi Food and Drug Authority, the American Society of HealthSystem Pharmacists, United States Pharmacopoeia USP ).</x:v>
      </x:c>
      <x:c r="E148" s="51" t="str"/>
      <x:c r="F148" s="51" t="n">
        <x:v>0</x:v>
      </x:c>
      <x:c r="G148" s="51" t="n">
        <x:v>0</x:v>
      </x:c>
      <x:c r="H148" s="51" t="n">
        <x:v>0</x:v>
      </x:c>
      <x:c r="I148" s="51" t="str">
        <x:v>Missing</x:v>
      </x:c>
      <x:c r="J148" s="51" t="n">
        <x:v>0</x:v>
      </x:c>
      <x:c r="K148" s="51" t="n">
        <x:v>0</x:v>
      </x:c>
      <x:c r="L148" s="51" t="n">
        <x:f>MIN(100,IF(C148,20,0)+F148*45+G148*30+H148*15+IF(I148="CriticalBlocked",30,IF(I148="Blocked",20,IF(I148="Missing",20,IF(I148="Partial",10,0))))+J148*20+K148*10)</x:f>
        <x:v>20</x:v>
      </x:c>
      <x:c r="M148" s="51" t="str">
        <x:f>IF(L148&gt;=75,"Critical",IF(L148&gt;=50,"High",IF(L148&gt;=25,"Moderate","Low")))</x:f>
        <x:v>Low</x:v>
      </x:c>
      <x:c r="N148" s="51" t="str">
        <x:v>Unreviewed</x:v>
      </x:c>
      <x:c r="O148" s="51" t="str"/>
      <x:c r="P148" s="51" t="str"/>
      <x:c r="Q148" s="49"/>
      <x:c r="R148" s="49"/>
      <x:c r="S148" s="49"/>
      <x:c r="T148" s="49"/>
      <x:c r="U148" s="49"/>
      <x:c r="V148" s="49"/>
      <x:c r="W148" s="49"/>
      <x:c r="X148" s="49"/>
      <x:c r="Y148" s="49"/>
      <x:c r="Z148" s="49"/>
    </x:row>
    <x:row r="149">
      <x:c r="A149" s="51" t="str">
        <x:v>MM.26.2</x:v>
      </x:c>
      <x:c r="B149" s="51" t="str">
        <x:v>MM.26</x:v>
      </x:c>
      <x:c r="C149" s="59" t="b">
        <x:v>0</x:v>
      </x:c>
      <x:c r="D149" s="51" t="str">
        <x:v>Sterile compounded preparations are performed by the pharmaceutical care except during emergency or urgency situations in which a delay could harm the patient or when product stability is short.</x:v>
      </x:c>
      <x:c r="E149" s="51" t="str"/>
      <x:c r="F149" s="51" t="n">
        <x:v>0</x:v>
      </x:c>
      <x:c r="G149" s="51" t="n">
        <x:v>0</x:v>
      </x:c>
      <x:c r="H149" s="51" t="n">
        <x:v>0</x:v>
      </x:c>
      <x:c r="I149" s="51" t="str">
        <x:v>Missing</x:v>
      </x:c>
      <x:c r="J149" s="51" t="n">
        <x:v>0</x:v>
      </x:c>
      <x:c r="K149" s="51" t="n">
        <x:v>0</x:v>
      </x:c>
      <x:c r="L149" s="51" t="n">
        <x:f>MIN(100,IF(C149,20,0)+F149*45+G149*30+H149*15+IF(I149="CriticalBlocked",30,IF(I149="Blocked",20,IF(I149="Missing",20,IF(I149="Partial",10,0))))+J149*20+K149*10)</x:f>
        <x:v>20</x:v>
      </x:c>
      <x:c r="M149" s="51" t="str">
        <x:f>IF(L149&gt;=75,"Critical",IF(L149&gt;=50,"High",IF(L149&gt;=25,"Moderate","Low")))</x:f>
        <x:v>Low</x:v>
      </x:c>
      <x:c r="N149" s="51" t="str">
        <x:v>Unreviewed</x:v>
      </x:c>
      <x:c r="O149" s="51" t="str"/>
      <x:c r="P149" s="51" t="str"/>
      <x:c r="Q149" s="49"/>
      <x:c r="R149" s="49"/>
      <x:c r="S149" s="49"/>
      <x:c r="T149" s="49"/>
      <x:c r="U149" s="49"/>
      <x:c r="V149" s="49"/>
      <x:c r="W149" s="49"/>
      <x:c r="X149" s="49"/>
      <x:c r="Y149" s="49"/>
      <x:c r="Z149" s="49"/>
    </x:row>
    <x:row r="150">
      <x:c r="A150" s="51" t="str">
        <x:v>MM.26.3</x:v>
      </x:c>
      <x:c r="B150" s="51" t="str">
        <x:v>MM.26</x:v>
      </x:c>
      <x:c r="C150" s="59" t="b">
        <x:v>0</x:v>
      </x:c>
      <x:c r="D150" s="51" t="str">
        <x:v>Sterile compounded preparations are performed in the clean room by pharmaceutical care staff, qualified in intravenous admixture and aseptic technique.</x:v>
      </x:c>
      <x:c r="E150" s="51" t="str"/>
      <x:c r="F150" s="51" t="n">
        <x:v>0</x:v>
      </x:c>
      <x:c r="G150" s="51" t="n">
        <x:v>0</x:v>
      </x:c>
      <x:c r="H150" s="51" t="n">
        <x:v>0</x:v>
      </x:c>
      <x:c r="I150" s="51" t="str">
        <x:v>Missing</x:v>
      </x:c>
      <x:c r="J150" s="51" t="n">
        <x:v>0</x:v>
      </x:c>
      <x:c r="K150" s="51" t="n">
        <x:v>0</x:v>
      </x:c>
      <x:c r="L150" s="51" t="n">
        <x:f>MIN(100,IF(C150,20,0)+F150*45+G150*30+H150*15+IF(I150="CriticalBlocked",30,IF(I150="Blocked",20,IF(I150="Missing",20,IF(I150="Partial",10,0))))+J150*20+K150*10)</x:f>
        <x:v>20</x:v>
      </x:c>
      <x:c r="M150" s="51" t="str">
        <x:f>IF(L150&gt;=75,"Critical",IF(L150&gt;=50,"High",IF(L150&gt;=25,"Moderate","Low")))</x:f>
        <x:v>Low</x:v>
      </x:c>
      <x:c r="N150" s="51" t="str">
        <x:v>Unreviewed</x:v>
      </x:c>
      <x:c r="O150" s="51" t="str"/>
      <x:c r="P150" s="51" t="str"/>
      <x:c r="Q150" s="49"/>
      <x:c r="R150" s="49"/>
      <x:c r="S150" s="49"/>
      <x:c r="T150" s="49"/>
      <x:c r="U150" s="49"/>
      <x:c r="V150" s="49"/>
      <x:c r="W150" s="49"/>
      <x:c r="X150" s="49"/>
      <x:c r="Y150" s="49"/>
      <x:c r="Z150" s="49"/>
    </x:row>
    <x:row r="151">
      <x:c r="A151" s="51" t="str">
        <x:v>MM.26.4</x:v>
      </x:c>
      <x:c r="B151" s="51" t="str">
        <x:v>MM.26</x:v>
      </x:c>
      <x:c r="C151" s="59" t="b">
        <x:v>0</x:v>
      </x:c>
      <x:c r="D151" s="51" t="str">
        <x:v>The hospital provides and documents training and competency assessment of nonpharmaceutical care staff involved in compounding sterile preparations outside the pharmaceutical care department during emergency or urgency situations.</x:v>
      </x:c>
      <x:c r="E151" s="51" t="str"/>
      <x:c r="F151" s="51" t="n">
        <x:v>0</x:v>
      </x:c>
      <x:c r="G151" s="51" t="n">
        <x:v>0</x:v>
      </x:c>
      <x:c r="H151" s="51" t="n">
        <x:v>0</x:v>
      </x:c>
      <x:c r="I151" s="51" t="str">
        <x:v>Missing</x:v>
      </x:c>
      <x:c r="J151" s="51" t="n">
        <x:v>0</x:v>
      </x:c>
      <x:c r="K151" s="51" t="n">
        <x:v>0</x:v>
      </x:c>
      <x:c r="L151" s="51" t="n">
        <x:f>MIN(100,IF(C151,20,0)+F151*45+G151*30+H151*15+IF(I151="CriticalBlocked",30,IF(I151="Blocked",20,IF(I151="Missing",20,IF(I151="Partial",10,0))))+J151*20+K151*10)</x:f>
        <x:v>20</x:v>
      </x:c>
      <x:c r="M151" s="51" t="str">
        <x:f>IF(L151&gt;=75,"Critical",IF(L151&gt;=50,"High",IF(L151&gt;=25,"Moderate","Low")))</x:f>
        <x:v>Low</x:v>
      </x:c>
      <x:c r="N151" s="51" t="str">
        <x:v>Unreviewed</x:v>
      </x:c>
      <x:c r="O151" s="51" t="str"/>
      <x:c r="P151" s="51" t="str"/>
      <x:c r="Q151" s="49"/>
      <x:c r="R151" s="49"/>
      <x:c r="S151" s="49"/>
      <x:c r="T151" s="49"/>
      <x:c r="U151" s="49"/>
      <x:c r="V151" s="49"/>
      <x:c r="W151" s="49"/>
      <x:c r="X151" s="49"/>
      <x:c r="Y151" s="49"/>
      <x:c r="Z151" s="49"/>
    </x:row>
    <x:row r="152">
      <x:c r="A152" s="51" t="str">
        <x:v>MM.26.5</x:v>
      </x:c>
      <x:c r="B152" s="51" t="str">
        <x:v>MM.26</x:v>
      </x:c>
      <x:c r="C152" s="59" t="b">
        <x:v>0</x:v>
      </x:c>
      <x:c r="D152" s="51" t="str">
        <x:v>There is full compliance with aseptic technique in all medication preparation areas all over the hospital.</x:v>
      </x:c>
      <x:c r="E152" s="51" t="str"/>
      <x:c r="F152" s="51" t="n">
        <x:v>0</x:v>
      </x:c>
      <x:c r="G152" s="51" t="n">
        <x:v>0</x:v>
      </x:c>
      <x:c r="H152" s="51" t="n">
        <x:v>0</x:v>
      </x:c>
      <x:c r="I152" s="51" t="str">
        <x:v>Missing</x:v>
      </x:c>
      <x:c r="J152" s="51" t="n">
        <x:v>0</x:v>
      </x:c>
      <x:c r="K152" s="51" t="n">
        <x:v>0</x:v>
      </x:c>
      <x:c r="L152" s="51" t="n">
        <x:f>MIN(100,IF(C152,20,0)+F152*45+G152*30+H152*15+IF(I152="CriticalBlocked",30,IF(I152="Blocked",20,IF(I152="Missing",20,IF(I152="Partial",10,0))))+J152*20+K152*10)</x:f>
        <x:v>20</x:v>
      </x:c>
      <x:c r="M152" s="51" t="str">
        <x:f>IF(L152&gt;=75,"Critical",IF(L152&gt;=50,"High",IF(L152&gt;=25,"Moderate","Low")))</x:f>
        <x:v>Low</x:v>
      </x:c>
      <x:c r="N152" s="51" t="str">
        <x:v>Unreviewed</x:v>
      </x:c>
      <x:c r="O152" s="51" t="str"/>
      <x:c r="P152" s="51" t="str"/>
      <x:c r="Q152" s="49"/>
      <x:c r="R152" s="49"/>
      <x:c r="S152" s="49"/>
      <x:c r="T152" s="49"/>
      <x:c r="U152" s="49"/>
      <x:c r="V152" s="49"/>
      <x:c r="W152" s="49"/>
      <x:c r="X152" s="49"/>
      <x:c r="Y152" s="49"/>
      <x:c r="Z152" s="49"/>
    </x:row>
    <x:row r="153">
      <x:c r="A153" s="51" t="str">
        <x:v>MM.26.6</x:v>
      </x:c>
      <x:c r="B153" s="51" t="str">
        <x:v>MM.26</x:v>
      </x:c>
      <x:c r="C153" s="59" t="b">
        <x:v>0</x:v>
      </x:c>
      <x:c r="D153" s="51" t="str">
        <x:v>Visual inspection is performed for all compounded sterile products by a trained individual for particulate, discoloration, or evidence of loss of integrity.</x:v>
      </x:c>
      <x:c r="E153" s="51" t="str"/>
      <x:c r="F153" s="51" t="n">
        <x:v>0</x:v>
      </x:c>
      <x:c r="G153" s="51" t="n">
        <x:v>0</x:v>
      </x:c>
      <x:c r="H153" s="51" t="n">
        <x:v>0</x:v>
      </x:c>
      <x:c r="I153" s="51" t="str">
        <x:v>Missing</x:v>
      </x:c>
      <x:c r="J153" s="51" t="n">
        <x:v>0</x:v>
      </x:c>
      <x:c r="K153" s="51" t="n">
        <x:v>0</x:v>
      </x:c>
      <x:c r="L153" s="51" t="n">
        <x:f>MIN(100,IF(C153,20,0)+F153*45+G153*30+H153*15+IF(I153="CriticalBlocked",30,IF(I153="Blocked",20,IF(I153="Missing",20,IF(I153="Partial",10,0))))+J153*20+K153*10)</x:f>
        <x:v>20</x:v>
      </x:c>
      <x:c r="M153" s="51" t="str">
        <x:f>IF(L153&gt;=75,"Critical",IF(L153&gt;=50,"High",IF(L153&gt;=25,"Moderate","Low")))</x:f>
        <x:v>Low</x:v>
      </x:c>
      <x:c r="N153" s="51" t="str">
        <x:v>Unreviewed</x:v>
      </x:c>
      <x:c r="O153" s="51" t="str"/>
      <x:c r="P153" s="51" t="str"/>
      <x:c r="Q153" s="49"/>
      <x:c r="R153" s="49"/>
      <x:c r="S153" s="49"/>
      <x:c r="T153" s="49"/>
      <x:c r="U153" s="49"/>
      <x:c r="V153" s="49"/>
      <x:c r="W153" s="49"/>
      <x:c r="X153" s="49"/>
      <x:c r="Y153" s="49"/>
      <x:c r="Z153" s="49"/>
    </x:row>
    <x:row r="154">
      <x:c r="A154" s="51" t="str">
        <x:v>MM.26.7</x:v>
      </x:c>
      <x:c r="B154" s="51" t="str">
        <x:v>MM.26</x:v>
      </x:c>
      <x:c r="C154" s="59" t="b">
        <x:v>0</x:v>
      </x:c>
      <x:c r="D154" s="51" t="str">
        <x:v>The pharmaceutical care has a clean room that is a functionally separate facility to maintain product sterility.</x:v>
      </x:c>
      <x:c r="E154" s="51" t="str"/>
      <x:c r="F154" s="51" t="n">
        <x:v>0</x:v>
      </x:c>
      <x:c r="G154" s="51" t="n">
        <x:v>0</x:v>
      </x:c>
      <x:c r="H154" s="51" t="n">
        <x:v>0</x:v>
      </x:c>
      <x:c r="I154" s="51" t="str">
        <x:v>Missing</x:v>
      </x:c>
      <x:c r="J154" s="51" t="n">
        <x:v>0</x:v>
      </x:c>
      <x:c r="K154" s="51" t="n">
        <x:v>0</x:v>
      </x:c>
      <x:c r="L154" s="51" t="n">
        <x:f>MIN(100,IF(C154,20,0)+F154*45+G154*30+H154*15+IF(I154="CriticalBlocked",30,IF(I154="Blocked",20,IF(I154="Missing",20,IF(I154="Partial",10,0))))+J154*20+K154*10)</x:f>
        <x:v>20</x:v>
      </x:c>
      <x:c r="M154" s="51" t="str">
        <x:f>IF(L154&gt;=75,"Critical",IF(L154&gt;=50,"High",IF(L154&gt;=25,"Moderate","Low")))</x:f>
        <x:v>Low</x:v>
      </x:c>
      <x:c r="N154" s="51" t="str">
        <x:v>Unreviewed</x:v>
      </x:c>
      <x:c r="O154" s="51" t="str"/>
      <x:c r="P154" s="51" t="str"/>
      <x:c r="Q154" s="49"/>
      <x:c r="R154" s="49"/>
      <x:c r="S154" s="49"/>
      <x:c r="T154" s="49"/>
      <x:c r="U154" s="49"/>
      <x:c r="V154" s="49"/>
      <x:c r="W154" s="49"/>
      <x:c r="X154" s="49"/>
      <x:c r="Y154" s="49"/>
      <x:c r="Z154" s="49"/>
    </x:row>
    <x:row r="155">
      <x:c r="A155" s="51" t="str">
        <x:v>MM.26.8</x:v>
      </x:c>
      <x:c r="B155" s="51" t="str">
        <x:v>MM.26</x:v>
      </x:c>
      <x:c r="C155" s="59" t="b">
        <x:v>0</x:v>
      </x:c>
      <x:c r="D155" s="51" t="str">
        <x:v>The design of the clean room is guided by the professional organizations’ standards (e.g., the American Society of Health- System Pharmacists, United States Pharmacopoeia USP ).</x:v>
      </x:c>
      <x:c r="E155" s="51" t="str"/>
      <x:c r="F155" s="51" t="n">
        <x:v>0</x:v>
      </x:c>
      <x:c r="G155" s="51" t="n">
        <x:v>0</x:v>
      </x:c>
      <x:c r="H155" s="51" t="n">
        <x:v>0</x:v>
      </x:c>
      <x:c r="I155" s="51" t="str">
        <x:v>Missing</x:v>
      </x:c>
      <x:c r="J155" s="51" t="n">
        <x:v>0</x:v>
      </x:c>
      <x:c r="K155" s="51" t="n">
        <x:v>0</x:v>
      </x:c>
      <x:c r="L155" s="51" t="n">
        <x:f>MIN(100,IF(C155,20,0)+F155*45+G155*30+H155*15+IF(I155="CriticalBlocked",30,IF(I155="Blocked",20,IF(I155="Missing",20,IF(I155="Partial",10,0))))+J155*20+K155*10)</x:f>
        <x:v>20</x:v>
      </x:c>
      <x:c r="M155" s="51" t="str">
        <x:f>IF(L155&gt;=75,"Critical",IF(L155&gt;=50,"High",IF(L155&gt;=25,"Moderate","Low")))</x:f>
        <x:v>Low</x:v>
      </x:c>
      <x:c r="N155" s="51" t="str">
        <x:v>Unreviewed</x:v>
      </x:c>
      <x:c r="O155" s="51" t="str"/>
      <x:c r="P155" s="51" t="str"/>
      <x:c r="Q155" s="49"/>
      <x:c r="R155" s="49"/>
      <x:c r="S155" s="49"/>
      <x:c r="T155" s="49"/>
      <x:c r="U155" s="49"/>
      <x:c r="V155" s="49"/>
      <x:c r="W155" s="49"/>
      <x:c r="X155" s="49"/>
      <x:c r="Y155" s="49"/>
      <x:c r="Z155" s="49"/>
    </x:row>
    <x:row r="156">
      <x:c r="A156" s="51" t="str">
        <x:v>MM.26.9</x:v>
      </x:c>
      <x:c r="B156" s="51" t="str">
        <x:v>MM.26</x:v>
      </x:c>
      <x:c r="C156" s="59" t="b">
        <x:v>0</x:v>
      </x:c>
      <x:c r="D156" s="51" t="str">
        <x:v>The pharmaceutical care uses ISO Class 5 laminar airflow hood for preparing sterile injectable preparations and all other sterile preparations.</x:v>
      </x:c>
      <x:c r="E156" s="51" t="str"/>
      <x:c r="F156" s="51" t="n">
        <x:v>0</x:v>
      </x:c>
      <x:c r="G156" s="51" t="n">
        <x:v>0</x:v>
      </x:c>
      <x:c r="H156" s="51" t="n">
        <x:v>0</x:v>
      </x:c>
      <x:c r="I156" s="51" t="str">
        <x:v>Missing</x:v>
      </x:c>
      <x:c r="J156" s="51" t="n">
        <x:v>0</x:v>
      </x:c>
      <x:c r="K156" s="51" t="n">
        <x:v>0</x:v>
      </x:c>
      <x:c r="L156" s="51" t="n">
        <x:f>MIN(100,IF(C156,20,0)+F156*45+G156*30+H156*15+IF(I156="CriticalBlocked",30,IF(I156="Blocked",20,IF(I156="Missing",20,IF(I156="Partial",10,0))))+J156*20+K156*10)</x:f>
        <x:v>20</x:v>
      </x:c>
      <x:c r="M156" s="51" t="str">
        <x:f>IF(L156&gt;=75,"Critical",IF(L156&gt;=50,"High",IF(L156&gt;=25,"Moderate","Low")))</x:f>
        <x:v>Low</x:v>
      </x:c>
      <x:c r="N156" s="51" t="str">
        <x:v>Unreviewed</x:v>
      </x:c>
      <x:c r="O156" s="51" t="str"/>
      <x:c r="P156" s="51" t="str"/>
      <x:c r="Q156" s="49"/>
      <x:c r="R156" s="49"/>
      <x:c r="S156" s="49"/>
      <x:c r="T156" s="49"/>
      <x:c r="U156" s="49"/>
      <x:c r="V156" s="49"/>
      <x:c r="W156" s="49"/>
      <x:c r="X156" s="49"/>
      <x:c r="Y156" s="49"/>
      <x:c r="Z156" s="49"/>
    </x:row>
    <x:row r="157">
      <x:c r="A157" s="51" t="str">
        <x:v>MM.26.10</x:v>
      </x:c>
      <x:c r="B157" s="51" t="str">
        <x:v>MM.26</x:v>
      </x:c>
      <x:c r="C157" s="59" t="b">
        <x:v>0</x:v>
      </x:c>
      <x:c r="D157" s="51" t="str">
        <x:v>The laminar airflow hood is tested at least every six months and in accordance with the manufacturer’s requirements, the Saudi Food and Drug Authority guidelines and the professional organizations’ standards ( e.g, American Society of Health-System Pharmacists, United States Pharmacopoeia USP ).</x:v>
      </x:c>
      <x:c r="E157" s="51" t="str"/>
      <x:c r="F157" s="51" t="n">
        <x:v>0</x:v>
      </x:c>
      <x:c r="G157" s="51" t="n">
        <x:v>0</x:v>
      </x:c>
      <x:c r="H157" s="51" t="n">
        <x:v>0</x:v>
      </x:c>
      <x:c r="I157" s="51" t="str">
        <x:v>Missing</x:v>
      </x:c>
      <x:c r="J157" s="51" t="n">
        <x:v>0</x:v>
      </x:c>
      <x:c r="K157" s="51" t="n">
        <x:v>0</x:v>
      </x:c>
      <x:c r="L157" s="51" t="n">
        <x:f>MIN(100,IF(C157,20,0)+F157*45+G157*30+H157*15+IF(I157="CriticalBlocked",30,IF(I157="Blocked",20,IF(I157="Missing",20,IF(I157="Partial",10,0))))+J157*20+K157*10)</x:f>
        <x:v>20</x:v>
      </x:c>
      <x:c r="M157" s="51" t="str">
        <x:f>IF(L157&gt;=75,"Critical",IF(L157&gt;=50,"High",IF(L157&gt;=25,"Moderate","Low")))</x:f>
        <x:v>Low</x:v>
      </x:c>
      <x:c r="N157" s="51" t="str">
        <x:v>Unreviewed</x:v>
      </x:c>
      <x:c r="O157" s="51" t="str"/>
      <x:c r="P157" s="51" t="str"/>
      <x:c r="Q157" s="49"/>
      <x:c r="R157" s="49"/>
      <x:c r="S157" s="49"/>
      <x:c r="T157" s="49"/>
      <x:c r="U157" s="49"/>
      <x:c r="V157" s="49"/>
      <x:c r="W157" s="49"/>
      <x:c r="X157" s="49"/>
      <x:c r="Y157" s="49"/>
      <x:c r="Z157" s="49"/>
    </x:row>
    <x:row r="158">
      <x:c r="A158" s="51" t="str">
        <x:v>MM.26.11</x:v>
      </x:c>
      <x:c r="B158" s="51" t="str">
        <x:v>MM.26</x:v>
      </x:c>
      <x:c r="C158" s="59" t="b">
        <x:v>0</x:v>
      </x:c>
      <x:c r="D158" s="51" t="str">
        <x:v>The hospital implements the written and approved guidelines on intravenous drug stability and compatibility.</x:v>
      </x:c>
      <x:c r="E158" s="51" t="str"/>
      <x:c r="F158" s="51" t="n">
        <x:v>0</x:v>
      </x:c>
      <x:c r="G158" s="51" t="n">
        <x:v>0</x:v>
      </x:c>
      <x:c r="H158" s="51" t="n">
        <x:v>0</x:v>
      </x:c>
      <x:c r="I158" s="51" t="str">
        <x:v>Missing</x:v>
      </x:c>
      <x:c r="J158" s="51" t="n">
        <x:v>0</x:v>
      </x:c>
      <x:c r="K158" s="51" t="n">
        <x:v>0</x:v>
      </x:c>
      <x:c r="L158" s="51" t="n">
        <x:f>MIN(100,IF(C158,20,0)+F158*45+G158*30+H158*15+IF(I158="CriticalBlocked",30,IF(I158="Blocked",20,IF(I158="Missing",20,IF(I158="Partial",10,0))))+J158*20+K158*10)</x:f>
        <x:v>20</x:v>
      </x:c>
      <x:c r="M158" s="51" t="str">
        <x:f>IF(L158&gt;=75,"Critical",IF(L158&gt;=50,"High",IF(L158&gt;=25,"Moderate","Low")))</x:f>
        <x:v>Low</x:v>
      </x:c>
      <x:c r="N158" s="51" t="str">
        <x:v>Unreviewed</x:v>
      </x:c>
      <x:c r="O158" s="51" t="str"/>
      <x:c r="P158" s="51" t="str"/>
      <x:c r="Q158" s="49"/>
      <x:c r="R158" s="49"/>
      <x:c r="S158" s="49"/>
      <x:c r="T158" s="49"/>
      <x:c r="U158" s="49"/>
      <x:c r="V158" s="49"/>
      <x:c r="W158" s="49"/>
      <x:c r="X158" s="49"/>
      <x:c r="Y158" s="49"/>
      <x:c r="Z158" s="49"/>
    </x:row>
    <x:row r="159">
      <x:c r="A159" s="51" t="str">
        <x:v>MM.26.12</x:v>
      </x:c>
      <x:c r="B159" s="51" t="str">
        <x:v>MM.26</x:v>
      </x:c>
      <x:c r="C159" s="59" t="b">
        <x:v>0</x:v>
      </x:c>
      <x:c r="D159" s="51" t="str">
        <x:v>Any sterile preparation compounded outside the clean room (e.g., in the patient care area during emergency or urgency situation) is done in an appropriate environment (location, space, cleanliness, traffic, etc.) to prevent contamination.</x:v>
      </x:c>
      <x:c r="E159" s="51" t="str"/>
      <x:c r="F159" s="51" t="n">
        <x:v>0</x:v>
      </x:c>
      <x:c r="G159" s="51" t="n">
        <x:v>0</x:v>
      </x:c>
      <x:c r="H159" s="51" t="n">
        <x:v>0</x:v>
      </x:c>
      <x:c r="I159" s="51" t="str">
        <x:v>Missing</x:v>
      </x:c>
      <x:c r="J159" s="51" t="n">
        <x:v>0</x:v>
      </x:c>
      <x:c r="K159" s="51" t="n">
        <x:v>0</x:v>
      </x:c>
      <x:c r="L159" s="51" t="n">
        <x:f>MIN(100,IF(C159,20,0)+F159*45+G159*30+H159*15+IF(I159="CriticalBlocked",30,IF(I159="Blocked",20,IF(I159="Missing",20,IF(I159="Partial",10,0))))+J159*20+K159*10)</x:f>
        <x:v>20</x:v>
      </x:c>
      <x:c r="M159" s="51" t="str">
        <x:f>IF(L159&gt;=75,"Critical",IF(L159&gt;=50,"High",IF(L159&gt;=25,"Moderate","Low")))</x:f>
        <x:v>Low</x:v>
      </x:c>
      <x:c r="N159" s="51" t="str">
        <x:v>Unreviewed</x:v>
      </x:c>
      <x:c r="O159" s="51" t="str"/>
      <x:c r="P159" s="51" t="str"/>
      <x:c r="Q159" s="49"/>
      <x:c r="R159" s="49"/>
      <x:c r="S159" s="49"/>
      <x:c r="T159" s="49"/>
      <x:c r="U159" s="49"/>
      <x:c r="V159" s="49"/>
      <x:c r="W159" s="49"/>
      <x:c r="X159" s="49"/>
      <x:c r="Y159" s="49"/>
      <x:c r="Z159" s="49"/>
    </x:row>
    <x:row r="160">
      <x:c r="A160" s="51" t="str">
        <x:v>MM.26.13</x:v>
      </x:c>
      <x:c r="B160" s="51" t="str">
        <x:v>MM.26</x:v>
      </x:c>
      <x:c r="C160" s="59" t="b">
        <x:v>0</x:v>
      </x:c>
      <x:c r="D160" s="51" t="str">
        <x:v>The pharmaceutical care regularly (at least once a month) inspects all areas where sterile preparations are compounded outside the pharmaceutical care clean room.</x:v>
      </x:c>
      <x:c r="E160" s="51" t="str"/>
      <x:c r="F160" s="51" t="n">
        <x:v>0</x:v>
      </x:c>
      <x:c r="G160" s="51" t="n">
        <x:v>0</x:v>
      </x:c>
      <x:c r="H160" s="51" t="n">
        <x:v>0</x:v>
      </x:c>
      <x:c r="I160" s="51" t="str">
        <x:v>Missing</x:v>
      </x:c>
      <x:c r="J160" s="51" t="n">
        <x:v>0</x:v>
      </x:c>
      <x:c r="K160" s="51" t="n">
        <x:v>0</x:v>
      </x:c>
      <x:c r="L160" s="51" t="n">
        <x:f>MIN(100,IF(C160,20,0)+F160*45+G160*30+H160*15+IF(I160="CriticalBlocked",30,IF(I160="Blocked",20,IF(I160="Missing",20,IF(I160="Partial",10,0))))+J160*20+K160*10)</x:f>
        <x:v>20</x:v>
      </x:c>
      <x:c r="M160" s="51" t="str">
        <x:f>IF(L160&gt;=75,"Critical",IF(L160&gt;=50,"High",IF(L160&gt;=25,"Moderate","Low")))</x:f>
        <x:v>Low</x:v>
      </x:c>
      <x:c r="N160" s="51" t="str">
        <x:v>Unreviewed</x:v>
      </x:c>
      <x:c r="O160" s="51" t="str"/>
      <x:c r="P160" s="51" t="str"/>
      <x:c r="Q160" s="49"/>
      <x:c r="R160" s="49"/>
      <x:c r="S160" s="49"/>
      <x:c r="T160" s="49"/>
      <x:c r="U160" s="49"/>
      <x:c r="V160" s="49"/>
      <x:c r="W160" s="49"/>
      <x:c r="X160" s="49"/>
      <x:c r="Y160" s="49"/>
      <x:c r="Z160" s="49"/>
    </x:row>
    <x:row r="161">
      <x:c r="A161" s="51" t="str">
        <x:v>MM.26.14</x:v>
      </x:c>
      <x:c r="B161" s="51" t="str">
        <x:v>MM.26</x:v>
      </x:c>
      <x:c r="C161" s="59" t="b">
        <x:v>0</x:v>
      </x:c>
      <x:c r="D161" s="51" t="str">
        <x:v>The pharmaceutical care monitors the performance and qualifications of non- pharmacists permitted to prepare sterile compounded medications outside the pharmaceutical care department.</x:v>
      </x:c>
      <x:c r="E161" s="51" t="str"/>
      <x:c r="F161" s="51" t="n">
        <x:v>0</x:v>
      </x:c>
      <x:c r="G161" s="51" t="n">
        <x:v>0</x:v>
      </x:c>
      <x:c r="H161" s="51" t="n">
        <x:v>0</x:v>
      </x:c>
      <x:c r="I161" s="51" t="str">
        <x:v>Missing</x:v>
      </x:c>
      <x:c r="J161" s="51" t="n">
        <x:v>0</x:v>
      </x:c>
      <x:c r="K161" s="51" t="n">
        <x:v>0</x:v>
      </x:c>
      <x:c r="L161" s="51" t="n">
        <x:f>MIN(100,IF(C161,20,0)+F161*45+G161*30+H161*15+IF(I161="CriticalBlocked",30,IF(I161="Blocked",20,IF(I161="Missing",20,IF(I161="Partial",10,0))))+J161*20+K161*10)</x:f>
        <x:v>20</x:v>
      </x:c>
      <x:c r="M161" s="51" t="str">
        <x:f>IF(L161&gt;=75,"Critical",IF(L161&gt;=50,"High",IF(L161&gt;=25,"Moderate","Low")))</x:f>
        <x:v>Low</x:v>
      </x:c>
      <x:c r="N161" s="51" t="str">
        <x:v>Unreviewed</x:v>
      </x:c>
      <x:c r="O161" s="51" t="str"/>
      <x:c r="P161" s="51" t="str"/>
      <x:c r="Q161" s="49"/>
      <x:c r="R161" s="49"/>
      <x:c r="S161" s="49"/>
      <x:c r="T161" s="49"/>
      <x:c r="U161" s="49"/>
      <x:c r="V161" s="49"/>
      <x:c r="W161" s="49"/>
      <x:c r="X161" s="49"/>
      <x:c r="Y161" s="49"/>
      <x:c r="Z161" s="49"/>
    </x:row>
    <x:row r="162">
      <x:c r="A162" s="51" t="str">
        <x:v>MM.26.15</x:v>
      </x:c>
      <x:c r="B162" s="51" t="str">
        <x:v>MM.26</x:v>
      </x:c>
      <x:c r="C162" s="59" t="b">
        <x:v>0</x:v>
      </x:c>
      <x:c r="D162" s="51" t="str">
        <x:v>There are written guidelines for safe recycling of returned (un-used) sterile preparations.</x:v>
      </x:c>
      <x:c r="E162" s="51" t="str"/>
      <x:c r="F162" s="51" t="n">
        <x:v>0</x:v>
      </x:c>
      <x:c r="G162" s="51" t="n">
        <x:v>0</x:v>
      </x:c>
      <x:c r="H162" s="51" t="n">
        <x:v>0</x:v>
      </x:c>
      <x:c r="I162" s="51" t="str">
        <x:v>Missing</x:v>
      </x:c>
      <x:c r="J162" s="51" t="n">
        <x:v>0</x:v>
      </x:c>
      <x:c r="K162" s="51" t="n">
        <x:v>0</x:v>
      </x:c>
      <x:c r="L162" s="51" t="n">
        <x:f>MIN(100,IF(C162,20,0)+F162*45+G162*30+H162*15+IF(I162="CriticalBlocked",30,IF(I162="Blocked",20,IF(I162="Missing",20,IF(I162="Partial",10,0))))+J162*20+K162*10)</x:f>
        <x:v>20</x:v>
      </x:c>
      <x:c r="M162" s="51" t="str">
        <x:f>IF(L162&gt;=75,"Critical",IF(L162&gt;=50,"High",IF(L162&gt;=25,"Moderate","Low")))</x:f>
        <x:v>Low</x:v>
      </x:c>
      <x:c r="N162" s="51" t="str">
        <x:v>Unreviewed</x:v>
      </x:c>
      <x:c r="O162" s="51" t="str"/>
      <x:c r="P162" s="51" t="str"/>
      <x:c r="Q162" s="49"/>
      <x:c r="R162" s="49"/>
      <x:c r="S162" s="49"/>
      <x:c r="T162" s="49"/>
      <x:c r="U162" s="49"/>
      <x:c r="V162" s="49"/>
      <x:c r="W162" s="49"/>
      <x:c r="X162" s="49"/>
      <x:c r="Y162" s="49"/>
      <x:c r="Z162" s="49"/>
    </x:row>
    <x:row r="163">
      <x:c r="A163" s="51" t="str">
        <x:v>MM.27.1</x:v>
      </x:c>
      <x:c r="B163" s="51" t="str">
        <x:v>MM.27</x:v>
      </x:c>
      <x:c r="C163" s="59" t="b">
        <x:v>0</x:v>
      </x:c>
      <x:c r="D163" s="51" t="str">
        <x:v>There is a multidisciplinary policy and procedure on preparation and dispensing of parenteral nutrition products.</x:v>
      </x:c>
      <x:c r="E163" s="51" t="str"/>
      <x:c r="F163" s="51" t="n">
        <x:v>0</x:v>
      </x:c>
      <x:c r="G163" s="51" t="n">
        <x:v>0</x:v>
      </x:c>
      <x:c r="H163" s="51" t="n">
        <x:v>0</x:v>
      </x:c>
      <x:c r="I163" s="51" t="str">
        <x:v>Missing</x:v>
      </x:c>
      <x:c r="J163" s="51" t="n">
        <x:v>0</x:v>
      </x:c>
      <x:c r="K163" s="51" t="n">
        <x:v>0</x:v>
      </x:c>
      <x:c r="L163" s="51" t="n">
        <x:f>MIN(100,IF(C163,20,0)+F163*45+G163*30+H163*15+IF(I163="CriticalBlocked",30,IF(I163="Blocked",20,IF(I163="Missing",20,IF(I163="Partial",10,0))))+J163*20+K163*10)</x:f>
        <x:v>20</x:v>
      </x:c>
      <x:c r="M163" s="51" t="str">
        <x:f>IF(L163&gt;=75,"Critical",IF(L163&gt;=50,"High",IF(L163&gt;=25,"Moderate","Low")))</x:f>
        <x:v>Low</x:v>
      </x:c>
      <x:c r="N163" s="51" t="str">
        <x:v>Unreviewed</x:v>
      </x:c>
      <x:c r="O163" s="51" t="str"/>
      <x:c r="P163" s="51" t="str"/>
      <x:c r="Q163" s="49"/>
      <x:c r="R163" s="49"/>
      <x:c r="S163" s="49"/>
      <x:c r="T163" s="49"/>
      <x:c r="U163" s="49"/>
      <x:c r="V163" s="49"/>
      <x:c r="W163" s="49"/>
      <x:c r="X163" s="49"/>
      <x:c r="Y163" s="49"/>
      <x:c r="Z163" s="49"/>
    </x:row>
    <x:row r="164">
      <x:c r="A164" s="51" t="str">
        <x:v>MM.27.2</x:v>
      </x:c>
      <x:c r="B164" s="51" t="str">
        <x:v>MM.27</x:v>
      </x:c>
      <x:c r="C164" s="59" t="b">
        <x:v>0</x:v>
      </x:c>
      <x:c r="D164" s="51" t="str">
        <x:v>All parenteral nutrition products are compounded in the pharmaceutical care clean room under the laminar air flow hood.</x:v>
      </x:c>
      <x:c r="E164" s="51" t="str"/>
      <x:c r="F164" s="51" t="n">
        <x:v>0</x:v>
      </x:c>
      <x:c r="G164" s="51" t="n">
        <x:v>0</x:v>
      </x:c>
      <x:c r="H164" s="51" t="n">
        <x:v>0</x:v>
      </x:c>
      <x:c r="I164" s="51" t="str">
        <x:v>Missing</x:v>
      </x:c>
      <x:c r="J164" s="51" t="n">
        <x:v>0</x:v>
      </x:c>
      <x:c r="K164" s="51" t="n">
        <x:v>0</x:v>
      </x:c>
      <x:c r="L164" s="51" t="n">
        <x:f>MIN(100,IF(C164,20,0)+F164*45+G164*30+H164*15+IF(I164="CriticalBlocked",30,IF(I164="Blocked",20,IF(I164="Missing",20,IF(I164="Partial",10,0))))+J164*20+K164*10)</x:f>
        <x:v>20</x:v>
      </x:c>
      <x:c r="M164" s="51" t="str">
        <x:f>IF(L164&gt;=75,"Critical",IF(L164&gt;=50,"High",IF(L164&gt;=25,"Moderate","Low")))</x:f>
        <x:v>Low</x:v>
      </x:c>
      <x:c r="N164" s="51" t="str">
        <x:v>Unreviewed</x:v>
      </x:c>
      <x:c r="O164" s="51" t="str"/>
      <x:c r="P164" s="51" t="str"/>
      <x:c r="Q164" s="49"/>
      <x:c r="R164" s="49"/>
      <x:c r="S164" s="49"/>
      <x:c r="T164" s="49"/>
      <x:c r="U164" s="49"/>
      <x:c r="V164" s="49"/>
      <x:c r="W164" s="49"/>
      <x:c r="X164" s="49"/>
      <x:c r="Y164" s="49"/>
      <x:c r="Z164" s="49"/>
    </x:row>
    <x:row r="165">
      <x:c r="A165" s="51" t="str">
        <x:v>MM.27.3</x:v>
      </x:c>
      <x:c r="B165" s="51" t="str">
        <x:v>MM.27</x:v>
      </x:c>
      <x:c r="C165" s="59" t="b">
        <x:v>0</x:v>
      </x:c>
      <x:c r="D165" s="51" t="str">
        <x:v>The hospital permits only pharmaceutical care staff qualified in aseptic technique and parenteral nutrition to prepare parenteral nutrition products.</x:v>
      </x:c>
      <x:c r="E165" s="51" t="str"/>
      <x:c r="F165" s="51" t="n">
        <x:v>0</x:v>
      </x:c>
      <x:c r="G165" s="51" t="n">
        <x:v>0</x:v>
      </x:c>
      <x:c r="H165" s="51" t="n">
        <x:v>0</x:v>
      </x:c>
      <x:c r="I165" s="51" t="str">
        <x:v>Missing</x:v>
      </x:c>
      <x:c r="J165" s="51" t="n">
        <x:v>0</x:v>
      </x:c>
      <x:c r="K165" s="51" t="n">
        <x:v>0</x:v>
      </x:c>
      <x:c r="L165" s="51" t="n">
        <x:f>MIN(100,IF(C165,20,0)+F165*45+G165*30+H165*15+IF(I165="CriticalBlocked",30,IF(I165="Blocked",20,IF(I165="Missing",20,IF(I165="Partial",10,0))))+J165*20+K165*10)</x:f>
        <x:v>20</x:v>
      </x:c>
      <x:c r="M165" s="51" t="str">
        <x:f>IF(L165&gt;=75,"Critical",IF(L165&gt;=50,"High",IF(L165&gt;=25,"Moderate","Low")))</x:f>
        <x:v>Low</x:v>
      </x:c>
      <x:c r="N165" s="51" t="str">
        <x:v>Unreviewed</x:v>
      </x:c>
      <x:c r="O165" s="51" t="str"/>
      <x:c r="P165" s="51" t="str"/>
      <x:c r="Q165" s="49"/>
      <x:c r="R165" s="49"/>
      <x:c r="S165" s="49"/>
      <x:c r="T165" s="49"/>
      <x:c r="U165" s="49"/>
      <x:c r="V165" s="49"/>
      <x:c r="W165" s="49"/>
      <x:c r="X165" s="49"/>
      <x:c r="Y165" s="49"/>
      <x:c r="Z165" s="49"/>
    </x:row>
    <x:row r="166">
      <x:c r="A166" s="51" t="str">
        <x:v>MM.27.4</x:v>
      </x:c>
      <x:c r="B166" s="51" t="str">
        <x:v>MM.27</x:v>
      </x:c>
      <x:c r="C166" s="59" t="b">
        <x:v>0</x:v>
      </x:c>
      <x:c r="D166" s="51" t="str">
        <x:v>Aseptic technique is strictly followed by all staff in the parenteral nutrition compounding area</x:v>
      </x:c>
      <x:c r="E166" s="51" t="str"/>
      <x:c r="F166" s="51" t="n">
        <x:v>0</x:v>
      </x:c>
      <x:c r="G166" s="51" t="n">
        <x:v>0</x:v>
      </x:c>
      <x:c r="H166" s="51" t="n">
        <x:v>0</x:v>
      </x:c>
      <x:c r="I166" s="51" t="str">
        <x:v>Missing</x:v>
      </x:c>
      <x:c r="J166" s="51" t="n">
        <x:v>0</x:v>
      </x:c>
      <x:c r="K166" s="51" t="n">
        <x:v>0</x:v>
      </x:c>
      <x:c r="L166" s="51" t="n">
        <x:f>MIN(100,IF(C166,20,0)+F166*45+G166*30+H166*15+IF(I166="CriticalBlocked",30,IF(I166="Blocked",20,IF(I166="Missing",20,IF(I166="Partial",10,0))))+J166*20+K166*10)</x:f>
        <x:v>20</x:v>
      </x:c>
      <x:c r="M166" s="51" t="str">
        <x:f>IF(L166&gt;=75,"Critical",IF(L166&gt;=50,"High",IF(L166&gt;=25,"Moderate","Low")))</x:f>
        <x:v>Low</x:v>
      </x:c>
      <x:c r="N166" s="51" t="str">
        <x:v>Unreviewed</x:v>
      </x:c>
      <x:c r="O166" s="51" t="str"/>
      <x:c r="P166" s="51" t="str"/>
      <x:c r="Q166" s="49"/>
      <x:c r="R166" s="49"/>
      <x:c r="S166" s="49"/>
      <x:c r="T166" s="49"/>
      <x:c r="U166" s="49"/>
      <x:c r="V166" s="49"/>
      <x:c r="W166" s="49"/>
      <x:c r="X166" s="49"/>
      <x:c r="Y166" s="49"/>
      <x:c r="Z166" s="49"/>
    </x:row>
    <x:row r="167">
      <x:c r="A167" s="51" t="str">
        <x:v>MM.27.5</x:v>
      </x:c>
      <x:c r="B167" s="51" t="str">
        <x:v>MM.27</x:v>
      </x:c>
      <x:c r="C167" s="59" t="b">
        <x:v>0</x:v>
      </x:c>
      <x:c r="D167" s="51" t="str">
        <x:v>Double check policy is implemented at each stage of compounding and visual inspection of the final parenteral nutrition product.</x:v>
      </x:c>
      <x:c r="E167" s="51" t="str"/>
      <x:c r="F167" s="51" t="n">
        <x:v>0</x:v>
      </x:c>
      <x:c r="G167" s="51" t="n">
        <x:v>0</x:v>
      </x:c>
      <x:c r="H167" s="51" t="n">
        <x:v>0</x:v>
      </x:c>
      <x:c r="I167" s="51" t="str">
        <x:v>Missing</x:v>
      </x:c>
      <x:c r="J167" s="51" t="n">
        <x:v>0</x:v>
      </x:c>
      <x:c r="K167" s="51" t="n">
        <x:v>0</x:v>
      </x:c>
      <x:c r="L167" s="51" t="n">
        <x:f>MIN(100,IF(C167,20,0)+F167*45+G167*30+H167*15+IF(I167="CriticalBlocked",30,IF(I167="Blocked",20,IF(I167="Missing",20,IF(I167="Partial",10,0))))+J167*20+K167*10)</x:f>
        <x:v>20</x:v>
      </x:c>
      <x:c r="M167" s="51" t="str">
        <x:f>IF(L167&gt;=75,"Critical",IF(L167&gt;=50,"High",IF(L167&gt;=25,"Moderate","Low")))</x:f>
        <x:v>Low</x:v>
      </x:c>
      <x:c r="N167" s="51" t="str">
        <x:v>Unreviewed</x:v>
      </x:c>
      <x:c r="O167" s="51" t="str"/>
      <x:c r="P167" s="51" t="str"/>
      <x:c r="Q167" s="49"/>
      <x:c r="R167" s="49"/>
      <x:c r="S167" s="49"/>
      <x:c r="T167" s="49"/>
      <x:c r="U167" s="49"/>
      <x:c r="V167" s="49"/>
      <x:c r="W167" s="49"/>
      <x:c r="X167" s="49"/>
      <x:c r="Y167" s="49"/>
      <x:c r="Z167" s="49"/>
    </x:row>
    <x:row r="168">
      <x:c r="A168" s="51" t="str">
        <x:v>MM.27.6</x:v>
      </x:c>
      <x:c r="B168" s="51" t="str">
        <x:v>MM.27</x:v>
      </x:c>
      <x:c r="C168" s="59" t="b">
        <x:v>0</x:v>
      </x:c>
      <x:c r="D168" s="51" t="str">
        <x:v>All essential macro-and micro-nutrients of parenteral nutrition are available.</x:v>
      </x:c>
      <x:c r="E168" s="51" t="str"/>
      <x:c r="F168" s="51" t="n">
        <x:v>0</x:v>
      </x:c>
      <x:c r="G168" s="51" t="n">
        <x:v>0</x:v>
      </x:c>
      <x:c r="H168" s="51" t="n">
        <x:v>0</x:v>
      </x:c>
      <x:c r="I168" s="51" t="str">
        <x:v>Missing</x:v>
      </x:c>
      <x:c r="J168" s="51" t="n">
        <x:v>0</x:v>
      </x:c>
      <x:c r="K168" s="51" t="n">
        <x:v>0</x:v>
      </x:c>
      <x:c r="L168" s="51" t="n">
        <x:f>MIN(100,IF(C168,20,0)+F168*45+G168*30+H168*15+IF(I168="CriticalBlocked",30,IF(I168="Blocked",20,IF(I168="Missing",20,IF(I168="Partial",10,0))))+J168*20+K168*10)</x:f>
        <x:v>20</x:v>
      </x:c>
      <x:c r="M168" s="51" t="str">
        <x:f>IF(L168&gt;=75,"Critical",IF(L168&gt;=50,"High",IF(L168&gt;=25,"Moderate","Low")))</x:f>
        <x:v>Low</x:v>
      </x:c>
      <x:c r="N168" s="51" t="str">
        <x:v>Unreviewed</x:v>
      </x:c>
      <x:c r="O168" s="51" t="str"/>
      <x:c r="P168" s="51" t="str"/>
      <x:c r="Q168" s="49"/>
      <x:c r="R168" s="49"/>
      <x:c r="S168" s="49"/>
      <x:c r="T168" s="49"/>
      <x:c r="U168" s="49"/>
      <x:c r="V168" s="49"/>
      <x:c r="W168" s="49"/>
      <x:c r="X168" s="49"/>
      <x:c r="Y168" s="49"/>
      <x:c r="Z168" s="49"/>
    </x:row>
    <x:row r="169">
      <x:c r="A169" s="51" t="str">
        <x:v>MM.27.7</x:v>
      </x:c>
      <x:c r="B169" s="51" t="str">
        <x:v>MM.27</x:v>
      </x:c>
      <x:c r="C169" s="59" t="b">
        <x:v>0</x:v>
      </x:c>
      <x:c r="D169" s="51" t="str">
        <x:v>Appropriate membrane filters are available for the different types of parenteral nutrition and different patient- age groups.</x:v>
      </x:c>
      <x:c r="E169" s="51" t="str"/>
      <x:c r="F169" s="51" t="n">
        <x:v>0</x:v>
      </x:c>
      <x:c r="G169" s="51" t="n">
        <x:v>0</x:v>
      </x:c>
      <x:c r="H169" s="51" t="n">
        <x:v>0</x:v>
      </x:c>
      <x:c r="I169" s="51" t="str">
        <x:v>Missing</x:v>
      </x:c>
      <x:c r="J169" s="51" t="n">
        <x:v>0</x:v>
      </x:c>
      <x:c r="K169" s="51" t="n">
        <x:v>0</x:v>
      </x:c>
      <x:c r="L169" s="51" t="n">
        <x:f>MIN(100,IF(C169,20,0)+F169*45+G169*30+H169*15+IF(I169="CriticalBlocked",30,IF(I169="Blocked",20,IF(I169="Missing",20,IF(I169="Partial",10,0))))+J169*20+K169*10)</x:f>
        <x:v>20</x:v>
      </x:c>
      <x:c r="M169" s="51" t="str">
        <x:f>IF(L169&gt;=75,"Critical",IF(L169&gt;=50,"High",IF(L169&gt;=25,"Moderate","Low")))</x:f>
        <x:v>Low</x:v>
      </x:c>
      <x:c r="N169" s="51" t="str">
        <x:v>Unreviewed</x:v>
      </x:c>
      <x:c r="O169" s="51" t="str"/>
      <x:c r="P169" s="51" t="str"/>
      <x:c r="Q169" s="49"/>
      <x:c r="R169" s="49"/>
      <x:c r="S169" s="49"/>
      <x:c r="T169" s="49"/>
      <x:c r="U169" s="49"/>
      <x:c r="V169" s="49"/>
      <x:c r="W169" s="49"/>
      <x:c r="X169" s="49"/>
      <x:c r="Y169" s="49"/>
      <x:c r="Z169" s="49"/>
    </x:row>
    <x:row r="170">
      <x:c r="A170" s="51" t="str">
        <x:v>MM.27.8</x:v>
      </x:c>
      <x:c r="B170" s="51" t="str">
        <x:v>MM.27</x:v>
      </x:c>
      <x:c r="C170" s="59" t="b">
        <x:v>0</x:v>
      </x:c>
      <x:c r="D170" s="51" t="str">
        <x:v>The hospital implements the written and approved guidelines on stability and compatibility of parenteral nutrition products.</x:v>
      </x:c>
      <x:c r="E170" s="51" t="str"/>
      <x:c r="F170" s="51" t="n">
        <x:v>0</x:v>
      </x:c>
      <x:c r="G170" s="51" t="n">
        <x:v>0</x:v>
      </x:c>
      <x:c r="H170" s="51" t="n">
        <x:v>0</x:v>
      </x:c>
      <x:c r="I170" s="51" t="str">
        <x:v>Missing</x:v>
      </x:c>
      <x:c r="J170" s="51" t="n">
        <x:v>0</x:v>
      </x:c>
      <x:c r="K170" s="51" t="n">
        <x:v>0</x:v>
      </x:c>
      <x:c r="L170" s="51" t="n">
        <x:f>MIN(100,IF(C170,20,0)+F170*45+G170*30+H170*15+IF(I170="CriticalBlocked",30,IF(I170="Blocked",20,IF(I170="Missing",20,IF(I170="Partial",10,0))))+J170*20+K170*10)</x:f>
        <x:v>20</x:v>
      </x:c>
      <x:c r="M170" s="51" t="str">
        <x:f>IF(L170&gt;=75,"Critical",IF(L170&gt;=50,"High",IF(L170&gt;=25,"Moderate","Low")))</x:f>
        <x:v>Low</x:v>
      </x:c>
      <x:c r="N170" s="51" t="str">
        <x:v>Unreviewed</x:v>
      </x:c>
      <x:c r="O170" s="51" t="str"/>
      <x:c r="P170" s="51" t="str"/>
      <x:c r="Q170" s="49"/>
      <x:c r="R170" s="49"/>
      <x:c r="S170" s="49"/>
      <x:c r="T170" s="49"/>
      <x:c r="U170" s="49"/>
      <x:c r="V170" s="49"/>
      <x:c r="W170" s="49"/>
      <x:c r="X170" s="49"/>
      <x:c r="Y170" s="49"/>
      <x:c r="Z170" s="49"/>
    </x:row>
    <x:row r="171">
      <x:c r="A171" s="51" t="str">
        <x:v>MM.27.9</x:v>
      </x:c>
      <x:c r="B171" s="51" t="str">
        <x:v>MM.27</x:v>
      </x:c>
      <x:c r="C171" s="59" t="b">
        <x:v>0</x:v>
      </x:c>
      <x:c r="D171" s="51" t="str">
        <x:v>When parenteral nutrition products are compounded by an outside vendor, the pharmaceutical care team maintains a copy of the contract and ensures the compliance of the vendor with quality and safety standards. ontract monitoring is conducted at least annually with corrective actions accordingly.</x:v>
      </x:c>
      <x:c r="E171" s="51" t="str"/>
      <x:c r="F171" s="51" t="n">
        <x:v>0</x:v>
      </x:c>
      <x:c r="G171" s="51" t="n">
        <x:v>0</x:v>
      </x:c>
      <x:c r="H171" s="51" t="n">
        <x:v>0</x:v>
      </x:c>
      <x:c r="I171" s="51" t="str">
        <x:v>Missing</x:v>
      </x:c>
      <x:c r="J171" s="51" t="n">
        <x:v>0</x:v>
      </x:c>
      <x:c r="K171" s="51" t="n">
        <x:v>0</x:v>
      </x:c>
      <x:c r="L171" s="51" t="n">
        <x:f>MIN(100,IF(C171,20,0)+F171*45+G171*30+H171*15+IF(I171="CriticalBlocked",30,IF(I171="Blocked",20,IF(I171="Missing",20,IF(I171="Partial",10,0))))+J171*20+K171*10)</x:f>
        <x:v>20</x:v>
      </x:c>
      <x:c r="M171" s="51" t="str">
        <x:f>IF(L171&gt;=75,"Critical",IF(L171&gt;=50,"High",IF(L171&gt;=25,"Moderate","Low")))</x:f>
        <x:v>Low</x:v>
      </x:c>
      <x:c r="N171" s="51" t="str">
        <x:v>Unreviewed</x:v>
      </x:c>
      <x:c r="O171" s="51" t="str"/>
      <x:c r="P171" s="51" t="str"/>
      <x:c r="Q171" s="49"/>
      <x:c r="R171" s="49"/>
      <x:c r="S171" s="49"/>
      <x:c r="T171" s="49"/>
      <x:c r="U171" s="49"/>
      <x:c r="V171" s="49"/>
      <x:c r="W171" s="49"/>
      <x:c r="X171" s="49"/>
      <x:c r="Y171" s="49"/>
      <x:c r="Z171" s="49"/>
    </x:row>
    <x:row r="172">
      <x:c r="A172" s="51" t="str">
        <x:v>MM.28.1</x:v>
      </x:c>
      <x:c r="B172" s="51" t="str">
        <x:v>MM.28</x:v>
      </x:c>
      <x:c r="C172" s="59" t="b">
        <x:v>0</x:v>
      </x:c>
      <x:c r="D172" s="51" t="str">
        <x:v>There is a multidisciplinary policy and procedure on preparation and handling of sterile compounded chemotherapy preparations.</x:v>
      </x:c>
      <x:c r="E172" s="51" t="str"/>
      <x:c r="F172" s="51" t="n">
        <x:v>0</x:v>
      </x:c>
      <x:c r="G172" s="51" t="n">
        <x:v>0</x:v>
      </x:c>
      <x:c r="H172" s="51" t="n">
        <x:v>0</x:v>
      </x:c>
      <x:c r="I172" s="51" t="str">
        <x:v>Missing</x:v>
      </x:c>
      <x:c r="J172" s="51" t="n">
        <x:v>0</x:v>
      </x:c>
      <x:c r="K172" s="51" t="n">
        <x:v>0</x:v>
      </x:c>
      <x:c r="L172" s="51" t="n">
        <x:f>MIN(100,IF(C172,20,0)+F172*45+G172*30+H172*15+IF(I172="CriticalBlocked",30,IF(I172="Blocked",20,IF(I172="Missing",20,IF(I172="Partial",10,0))))+J172*20+K172*10)</x:f>
        <x:v>20</x:v>
      </x:c>
      <x:c r="M172" s="51" t="str">
        <x:f>IF(L172&gt;=75,"Critical",IF(L172&gt;=50,"High",IF(L172&gt;=25,"Moderate","Low")))</x:f>
        <x:v>Low</x:v>
      </x:c>
      <x:c r="N172" s="51" t="str">
        <x:v>Unreviewed</x:v>
      </x:c>
      <x:c r="O172" s="51" t="str"/>
      <x:c r="P172" s="51" t="str"/>
      <x:c r="Q172" s="49"/>
      <x:c r="R172" s="49"/>
      <x:c r="S172" s="49"/>
      <x:c r="T172" s="49"/>
      <x:c r="U172" s="49"/>
      <x:c r="V172" s="49"/>
      <x:c r="W172" s="49"/>
      <x:c r="X172" s="49"/>
      <x:c r="Y172" s="49"/>
      <x:c r="Z172" s="49"/>
    </x:row>
    <x:row r="173">
      <x:c r="A173" s="51" t="str">
        <x:v>MM.28.2</x:v>
      </x:c>
      <x:c r="B173" s="51" t="str">
        <x:v>MM.28</x:v>
      </x:c>
      <x:c r="C173" s="59" t="b">
        <x:v>0</x:v>
      </x:c>
      <x:c r="D173" s="51" t="str">
        <x:v>The chemotherapy compounding services is operated and managed by the pharmaceutical care.</x:v>
      </x:c>
      <x:c r="E173" s="51" t="str"/>
      <x:c r="F173" s="51" t="n">
        <x:v>0</x:v>
      </x:c>
      <x:c r="G173" s="51" t="n">
        <x:v>0</x:v>
      </x:c>
      <x:c r="H173" s="51" t="n">
        <x:v>0</x:v>
      </x:c>
      <x:c r="I173" s="51" t="str">
        <x:v>Missing</x:v>
      </x:c>
      <x:c r="J173" s="51" t="n">
        <x:v>0</x:v>
      </x:c>
      <x:c r="K173" s="51" t="n">
        <x:v>0</x:v>
      </x:c>
      <x:c r="L173" s="51" t="n">
        <x:f>MIN(100,IF(C173,20,0)+F173*45+G173*30+H173*15+IF(I173="CriticalBlocked",30,IF(I173="Blocked",20,IF(I173="Missing",20,IF(I173="Partial",10,0))))+J173*20+K173*10)</x:f>
        <x:v>20</x:v>
      </x:c>
      <x:c r="M173" s="51" t="str">
        <x:f>IF(L173&gt;=75,"Critical",IF(L173&gt;=50,"High",IF(L173&gt;=25,"Moderate","Low")))</x:f>
        <x:v>Low</x:v>
      </x:c>
      <x:c r="N173" s="51" t="str">
        <x:v>Unreviewed</x:v>
      </x:c>
      <x:c r="O173" s="51" t="str"/>
      <x:c r="P173" s="51" t="str"/>
      <x:c r="Q173" s="49"/>
      <x:c r="R173" s="49"/>
      <x:c r="S173" s="49"/>
      <x:c r="T173" s="49"/>
      <x:c r="U173" s="49"/>
      <x:c r="V173" s="49"/>
      <x:c r="W173" s="49"/>
      <x:c r="X173" s="49"/>
      <x:c r="Y173" s="49"/>
      <x:c r="Z173" s="49"/>
    </x:row>
    <x:row r="174">
      <x:c r="A174" s="51" t="str">
        <x:v>MM.28.3</x:v>
      </x:c>
      <x:c r="B174" s="51" t="str">
        <x:v>MM.28</x:v>
      </x:c>
      <x:c r="C174" s="59" t="b">
        <x:v>0</x:v>
      </x:c>
      <x:c r="D174" s="51" t="str">
        <x:v>The hospital permits only pharmaceutical care staff qualified in chemotherapy compounding to work in the chemotherapy compounding area.</x:v>
      </x:c>
      <x:c r="E174" s="51" t="str"/>
      <x:c r="F174" s="51" t="n">
        <x:v>0</x:v>
      </x:c>
      <x:c r="G174" s="51" t="n">
        <x:v>0</x:v>
      </x:c>
      <x:c r="H174" s="51" t="n">
        <x:v>0</x:v>
      </x:c>
      <x:c r="I174" s="51" t="str">
        <x:v>Missing</x:v>
      </x:c>
      <x:c r="J174" s="51" t="n">
        <x:v>0</x:v>
      </x:c>
      <x:c r="K174" s="51" t="n">
        <x:v>0</x:v>
      </x:c>
      <x:c r="L174" s="51" t="n">
        <x:f>MIN(100,IF(C174,20,0)+F174*45+G174*30+H174*15+IF(I174="CriticalBlocked",30,IF(I174="Blocked",20,IF(I174="Missing",20,IF(I174="Partial",10,0))))+J174*20+K174*10)</x:f>
        <x:v>20</x:v>
      </x:c>
      <x:c r="M174" s="51" t="str">
        <x:f>IF(L174&gt;=75,"Critical",IF(L174&gt;=50,"High",IF(L174&gt;=25,"Moderate","Low")))</x:f>
        <x:v>Low</x:v>
      </x:c>
      <x:c r="N174" s="51" t="str">
        <x:v>Unreviewed</x:v>
      </x:c>
      <x:c r="O174" s="51" t="str"/>
      <x:c r="P174" s="51" t="str"/>
      <x:c r="Q174" s="49"/>
      <x:c r="R174" s="49"/>
      <x:c r="S174" s="49"/>
      <x:c r="T174" s="49"/>
      <x:c r="U174" s="49"/>
      <x:c r="V174" s="49"/>
      <x:c r="W174" s="49"/>
      <x:c r="X174" s="49"/>
      <x:c r="Y174" s="49"/>
      <x:c r="Z174" s="49"/>
    </x:row>
    <x:row r="175">
      <x:c r="A175" s="51" t="str">
        <x:v>MM.28.4</x:v>
      </x:c>
      <x:c r="B175" s="51" t="str">
        <x:v>MM.28</x:v>
      </x:c>
      <x:c r="C175" s="59" t="b">
        <x:v>0</x:v>
      </x:c>
      <x:c r="D175" s="51" t="str">
        <x:v>Aseptic technique is strictly followed by all staff in the chemotherapy compounding area.</x:v>
      </x:c>
      <x:c r="E175" s="51" t="str"/>
      <x:c r="F175" s="51" t="n">
        <x:v>0</x:v>
      </x:c>
      <x:c r="G175" s="51" t="n">
        <x:v>0</x:v>
      </x:c>
      <x:c r="H175" s="51" t="n">
        <x:v>0</x:v>
      </x:c>
      <x:c r="I175" s="51" t="str">
        <x:v>Missing</x:v>
      </x:c>
      <x:c r="J175" s="51" t="n">
        <x:v>0</x:v>
      </x:c>
      <x:c r="K175" s="51" t="n">
        <x:v>0</x:v>
      </x:c>
      <x:c r="L175" s="51" t="n">
        <x:f>MIN(100,IF(C175,20,0)+F175*45+G175*30+H175*15+IF(I175="CriticalBlocked",30,IF(I175="Blocked",20,IF(I175="Missing",20,IF(I175="Partial",10,0))))+J175*20+K175*10)</x:f>
        <x:v>20</x:v>
      </x:c>
      <x:c r="M175" s="51" t="str">
        <x:f>IF(L175&gt;=75,"Critical",IF(L175&gt;=50,"High",IF(L175&gt;=25,"Moderate","Low")))</x:f>
        <x:v>Low</x:v>
      </x:c>
      <x:c r="N175" s="51" t="str">
        <x:v>Unreviewed</x:v>
      </x:c>
      <x:c r="O175" s="51" t="str"/>
      <x:c r="P175" s="51" t="str"/>
      <x:c r="Q175" s="49"/>
      <x:c r="R175" s="49"/>
      <x:c r="S175" s="49"/>
      <x:c r="T175" s="49"/>
      <x:c r="U175" s="49"/>
      <x:c r="V175" s="49"/>
      <x:c r="W175" s="49"/>
      <x:c r="X175" s="49"/>
      <x:c r="Y175" s="49"/>
      <x:c r="Z175" s="49"/>
    </x:row>
    <x:row r="176">
      <x:c r="A176" s="51" t="str">
        <x:v>MM.28.5</x:v>
      </x:c>
      <x:c r="B176" s="51" t="str">
        <x:v>MM.28</x:v>
      </x:c>
      <x:c r="C176" s="59" t="b">
        <x:v>0</x:v>
      </x:c>
      <x:c r="D176" s="51" t="str">
        <x:v>Visual inspection is performed for all compounded sterile chemotherapy preparations by a trained pharmacist for particulate, discoloration or evidence of loss of integrity.</x:v>
      </x:c>
      <x:c r="E176" s="51" t="str"/>
      <x:c r="F176" s="51" t="n">
        <x:v>0</x:v>
      </x:c>
      <x:c r="G176" s="51" t="n">
        <x:v>0</x:v>
      </x:c>
      <x:c r="H176" s="51" t="n">
        <x:v>0</x:v>
      </x:c>
      <x:c r="I176" s="51" t="str">
        <x:v>Missing</x:v>
      </x:c>
      <x:c r="J176" s="51" t="n">
        <x:v>0</x:v>
      </x:c>
      <x:c r="K176" s="51" t="n">
        <x:v>0</x:v>
      </x:c>
      <x:c r="L176" s="51" t="n">
        <x:f>MIN(100,IF(C176,20,0)+F176*45+G176*30+H176*15+IF(I176="CriticalBlocked",30,IF(I176="Blocked",20,IF(I176="Missing",20,IF(I176="Partial",10,0))))+J176*20+K176*10)</x:f>
        <x:v>20</x:v>
      </x:c>
      <x:c r="M176" s="51" t="str">
        <x:f>IF(L176&gt;=75,"Critical",IF(L176&gt;=50,"High",IF(L176&gt;=25,"Moderate","Low")))</x:f>
        <x:v>Low</x:v>
      </x:c>
      <x:c r="N176" s="51" t="str">
        <x:v>Unreviewed</x:v>
      </x:c>
      <x:c r="O176" s="51" t="str"/>
      <x:c r="P176" s="51" t="str"/>
      <x:c r="Q176" s="49"/>
      <x:c r="R176" s="49"/>
      <x:c r="S176" s="49"/>
      <x:c r="T176" s="49"/>
      <x:c r="U176" s="49"/>
      <x:c r="V176" s="49"/>
      <x:c r="W176" s="49"/>
      <x:c r="X176" s="49"/>
      <x:c r="Y176" s="49"/>
      <x:c r="Z176" s="49"/>
    </x:row>
    <x:row r="177">
      <x:c r="A177" s="51" t="str">
        <x:v>MM.28.6</x:v>
      </x:c>
      <x:c r="B177" s="51" t="str">
        <x:v>MM.28</x:v>
      </x:c>
      <x:c r="C177" s="59" t="b">
        <x:v>0</x:v>
      </x:c>
      <x:c r="D177" s="51" t="str">
        <x:v>The chemotherapy compounding area is physically and functionally separate area to maintain product sterility and prevent cross contamination.</x:v>
      </x:c>
      <x:c r="E177" s="51" t="str"/>
      <x:c r="F177" s="51" t="n">
        <x:v>0</x:v>
      </x:c>
      <x:c r="G177" s="51" t="n">
        <x:v>0</x:v>
      </x:c>
      <x:c r="H177" s="51" t="n">
        <x:v>0</x:v>
      </x:c>
      <x:c r="I177" s="51" t="str">
        <x:v>Missing</x:v>
      </x:c>
      <x:c r="J177" s="51" t="n">
        <x:v>0</x:v>
      </x:c>
      <x:c r="K177" s="51" t="n">
        <x:v>0</x:v>
      </x:c>
      <x:c r="L177" s="51" t="n">
        <x:f>MIN(100,IF(C177,20,0)+F177*45+G177*30+H177*15+IF(I177="CriticalBlocked",30,IF(I177="Blocked",20,IF(I177="Missing",20,IF(I177="Partial",10,0))))+J177*20+K177*10)</x:f>
        <x:v>20</x:v>
      </x:c>
      <x:c r="M177" s="51" t="str">
        <x:f>IF(L177&gt;=75,"Critical",IF(L177&gt;=50,"High",IF(L177&gt;=25,"Moderate","Low")))</x:f>
        <x:v>Low</x:v>
      </x:c>
      <x:c r="N177" s="51" t="str">
        <x:v>Unreviewed</x:v>
      </x:c>
      <x:c r="O177" s="51" t="str"/>
      <x:c r="P177" s="51" t="str"/>
      <x:c r="Q177" s="49"/>
      <x:c r="R177" s="49"/>
      <x:c r="S177" s="49"/>
      <x:c r="T177" s="49"/>
      <x:c r="U177" s="49"/>
      <x:c r="V177" s="49"/>
      <x:c r="W177" s="49"/>
      <x:c r="X177" s="49"/>
      <x:c r="Y177" s="49"/>
      <x:c r="Z177" s="49"/>
    </x:row>
    <x:row r="178">
      <x:c r="A178" s="51" t="str">
        <x:v>MM.28.7</x:v>
      </x:c>
      <x:c r="B178" s="51" t="str">
        <x:v>MM.28</x:v>
      </x:c>
      <x:c r="C178" s="59" t="b">
        <x:v>0</x:v>
      </x:c>
      <x:c r="D178" s="51" t="str">
        <x:v>The design of the chemotherapy compounding area is guided by the professional organizations’ standards (e.g., the American Society of Health- System Pharmacists, United States Pharmacopoeia USP ).</x:v>
      </x:c>
      <x:c r="E178" s="51" t="str"/>
      <x:c r="F178" s="51" t="n">
        <x:v>0</x:v>
      </x:c>
      <x:c r="G178" s="51" t="n">
        <x:v>0</x:v>
      </x:c>
      <x:c r="H178" s="51" t="n">
        <x:v>0</x:v>
      </x:c>
      <x:c r="I178" s="51" t="str">
        <x:v>Missing</x:v>
      </x:c>
      <x:c r="J178" s="51" t="n">
        <x:v>0</x:v>
      </x:c>
      <x:c r="K178" s="51" t="n">
        <x:v>0</x:v>
      </x:c>
      <x:c r="L178" s="51" t="n">
        <x:f>MIN(100,IF(C178,20,0)+F178*45+G178*30+H178*15+IF(I178="CriticalBlocked",30,IF(I178="Blocked",20,IF(I178="Missing",20,IF(I178="Partial",10,0))))+J178*20+K178*10)</x:f>
        <x:v>20</x:v>
      </x:c>
      <x:c r="M178" s="51" t="str">
        <x:f>IF(L178&gt;=75,"Critical",IF(L178&gt;=50,"High",IF(L178&gt;=25,"Moderate","Low")))</x:f>
        <x:v>Low</x:v>
      </x:c>
      <x:c r="N178" s="51" t="str">
        <x:v>Unreviewed</x:v>
      </x:c>
      <x:c r="O178" s="51" t="str"/>
      <x:c r="P178" s="51" t="str"/>
      <x:c r="Q178" s="49"/>
      <x:c r="R178" s="49"/>
      <x:c r="S178" s="49"/>
      <x:c r="T178" s="49"/>
      <x:c r="U178" s="49"/>
      <x:c r="V178" s="49"/>
      <x:c r="W178" s="49"/>
      <x:c r="X178" s="49"/>
      <x:c r="Y178" s="49"/>
      <x:c r="Z178" s="49"/>
    </x:row>
    <x:row r="179">
      <x:c r="A179" s="51" t="str">
        <x:v>MM.28.8</x:v>
      </x:c>
      <x:c r="B179" s="51" t="str">
        <x:v>MM.28</x:v>
      </x:c>
      <x:c r="C179" s="59" t="b">
        <x:v>0</x:v>
      </x:c>
      <x:c r="D179" s="51" t="str">
        <x:v>The pharmaceutical care uses ISO Class 5 biological safety cabinet with 100% exhaust air outside the building (class II B vertical laminar airflow hood) for preparing chemotherapy.</x:v>
      </x:c>
      <x:c r="E179" s="51" t="str"/>
      <x:c r="F179" s="51" t="n">
        <x:v>0</x:v>
      </x:c>
      <x:c r="G179" s="51" t="n">
        <x:v>0</x:v>
      </x:c>
      <x:c r="H179" s="51" t="n">
        <x:v>0</x:v>
      </x:c>
      <x:c r="I179" s="51" t="str">
        <x:v>Missing</x:v>
      </x:c>
      <x:c r="J179" s="51" t="n">
        <x:v>0</x:v>
      </x:c>
      <x:c r="K179" s="51" t="n">
        <x:v>0</x:v>
      </x:c>
      <x:c r="L179" s="51" t="n">
        <x:f>MIN(100,IF(C179,20,0)+F179*45+G179*30+H179*15+IF(I179="CriticalBlocked",30,IF(I179="Blocked",20,IF(I179="Missing",20,IF(I179="Partial",10,0))))+J179*20+K179*10)</x:f>
        <x:v>20</x:v>
      </x:c>
      <x:c r="M179" s="51" t="str">
        <x:f>IF(L179&gt;=75,"Critical",IF(L179&gt;=50,"High",IF(L179&gt;=25,"Moderate","Low")))</x:f>
        <x:v>Low</x:v>
      </x:c>
      <x:c r="N179" s="51" t="str">
        <x:v>Unreviewed</x:v>
      </x:c>
      <x:c r="O179" s="51" t="str"/>
      <x:c r="P179" s="51" t="str"/>
      <x:c r="Q179" s="49"/>
      <x:c r="R179" s="49"/>
      <x:c r="S179" s="49"/>
      <x:c r="T179" s="49"/>
      <x:c r="U179" s="49"/>
      <x:c r="V179" s="49"/>
      <x:c r="W179" s="49"/>
      <x:c r="X179" s="49"/>
      <x:c r="Y179" s="49"/>
      <x:c r="Z179" s="49"/>
    </x:row>
    <x:row r="180">
      <x:c r="A180" s="51" t="str">
        <x:v>MM.28.9</x:v>
      </x:c>
      <x:c r="B180" s="51" t="str">
        <x:v>MM.28</x:v>
      </x:c>
      <x:c r="C180" s="59" t="b">
        <x:v>0</x:v>
      </x:c>
      <x:c r="D180" s="51" t="str">
        <x:v>The biological safety cabinet is tested at least every six months and in accordance with the manufacturer requirements. the Saudi Food and Drug Authority guidelines, and the professional organizations’ standards such as the American Society of Health-System Pharmacists (ASHP) and United States Pharmacopoeia (USP ).</x:v>
      </x:c>
      <x:c r="E180" s="51" t="str"/>
      <x:c r="F180" s="51" t="n">
        <x:v>0</x:v>
      </x:c>
      <x:c r="G180" s="51" t="n">
        <x:v>0</x:v>
      </x:c>
      <x:c r="H180" s="51" t="n">
        <x:v>0</x:v>
      </x:c>
      <x:c r="I180" s="51" t="str">
        <x:v>Missing</x:v>
      </x:c>
      <x:c r="J180" s="51" t="n">
        <x:v>0</x:v>
      </x:c>
      <x:c r="K180" s="51" t="n">
        <x:v>0</x:v>
      </x:c>
      <x:c r="L180" s="51" t="n">
        <x:f>MIN(100,IF(C180,20,0)+F180*45+G180*30+H180*15+IF(I180="CriticalBlocked",30,IF(I180="Blocked",20,IF(I180="Missing",20,IF(I180="Partial",10,0))))+J180*20+K180*10)</x:f>
        <x:v>20</x:v>
      </x:c>
      <x:c r="M180" s="51" t="str">
        <x:f>IF(L180&gt;=75,"Critical",IF(L180&gt;=50,"High",IF(L180&gt;=25,"Moderate","Low")))</x:f>
        <x:v>Low</x:v>
      </x:c>
      <x:c r="N180" s="51" t="str">
        <x:v>Unreviewed</x:v>
      </x:c>
      <x:c r="O180" s="51" t="str"/>
      <x:c r="P180" s="51" t="str"/>
      <x:c r="Q180" s="49"/>
      <x:c r="R180" s="49"/>
      <x:c r="S180" s="49"/>
      <x:c r="T180" s="49"/>
      <x:c r="U180" s="49"/>
      <x:c r="V180" s="49"/>
      <x:c r="W180" s="49"/>
      <x:c r="X180" s="49"/>
      <x:c r="Y180" s="49"/>
      <x:c r="Z180" s="49"/>
    </x:row>
    <x:row r="181">
      <x:c r="A181" s="51" t="str">
        <x:v>MM.28.10</x:v>
      </x:c>
      <x:c r="B181" s="51" t="str">
        <x:v>MM.28</x:v>
      </x:c>
      <x:c r="C181" s="59" t="b">
        <x:v>0</x:v>
      </x:c>
      <x:c r="D181" s="51" t="str">
        <x:v>The hospital implements written and approved guidelines on chemotherapy drug stability and compatibility.</x:v>
      </x:c>
      <x:c r="E181" s="51" t="str"/>
      <x:c r="F181" s="51" t="n">
        <x:v>0</x:v>
      </x:c>
      <x:c r="G181" s="51" t="n">
        <x:v>0</x:v>
      </x:c>
      <x:c r="H181" s="51" t="n">
        <x:v>0</x:v>
      </x:c>
      <x:c r="I181" s="51" t="str">
        <x:v>Missing</x:v>
      </x:c>
      <x:c r="J181" s="51" t="n">
        <x:v>0</x:v>
      </x:c>
      <x:c r="K181" s="51" t="n">
        <x:v>0</x:v>
      </x:c>
      <x:c r="L181" s="51" t="n">
        <x:f>MIN(100,IF(C181,20,0)+F181*45+G181*30+H181*15+IF(I181="CriticalBlocked",30,IF(I181="Blocked",20,IF(I181="Missing",20,IF(I181="Partial",10,0))))+J181*20+K181*10)</x:f>
        <x:v>20</x:v>
      </x:c>
      <x:c r="M181" s="51" t="str">
        <x:f>IF(L181&gt;=75,"Critical",IF(L181&gt;=50,"High",IF(L181&gt;=25,"Moderate","Low")))</x:f>
        <x:v>Low</x:v>
      </x:c>
      <x:c r="N181" s="51" t="str">
        <x:v>Unreviewed</x:v>
      </x:c>
      <x:c r="O181" s="51" t="str"/>
      <x:c r="P181" s="51" t="str"/>
      <x:c r="Q181" s="49"/>
      <x:c r="R181" s="49"/>
      <x:c r="S181" s="49"/>
      <x:c r="T181" s="49"/>
      <x:c r="U181" s="49"/>
      <x:c r="V181" s="49"/>
      <x:c r="W181" s="49"/>
      <x:c r="X181" s="49"/>
      <x:c r="Y181" s="49"/>
      <x:c r="Z181" s="49"/>
    </x:row>
    <x:row r="182">
      <x:c r="A182" s="51" t="str">
        <x:v>MM.28.11</x:v>
      </x:c>
      <x:c r="B182" s="51" t="str">
        <x:v>MM.28</x:v>
      </x:c>
      <x:c r="C182" s="59" t="b">
        <x:v>0</x:v>
      </x:c>
      <x:c r="D182" s="51" t="str">
        <x:v>The hospital uses chemotherapy ziploc plastic bags to prevent accidental spills during transportation and storage of compounded chemotherapy preparations.</x:v>
      </x:c>
      <x:c r="E182" s="51" t="str"/>
      <x:c r="F182" s="51" t="n">
        <x:v>0</x:v>
      </x:c>
      <x:c r="G182" s="51" t="n">
        <x:v>0</x:v>
      </x:c>
      <x:c r="H182" s="51" t="n">
        <x:v>0</x:v>
      </x:c>
      <x:c r="I182" s="51" t="str">
        <x:v>Missing</x:v>
      </x:c>
      <x:c r="J182" s="51" t="n">
        <x:v>0</x:v>
      </x:c>
      <x:c r="K182" s="51" t="n">
        <x:v>0</x:v>
      </x:c>
      <x:c r="L182" s="51" t="n">
        <x:f>MIN(100,IF(C182,20,0)+F182*45+G182*30+H182*15+IF(I182="CriticalBlocked",30,IF(I182="Blocked",20,IF(I182="Missing",20,IF(I182="Partial",10,0))))+J182*20+K182*10)</x:f>
        <x:v>20</x:v>
      </x:c>
      <x:c r="M182" s="51" t="str">
        <x:f>IF(L182&gt;=75,"Critical",IF(L182&gt;=50,"High",IF(L182&gt;=25,"Moderate","Low")))</x:f>
        <x:v>Low</x:v>
      </x:c>
      <x:c r="N182" s="51" t="str">
        <x:v>Unreviewed</x:v>
      </x:c>
      <x:c r="O182" s="51" t="str"/>
      <x:c r="P182" s="51" t="str"/>
      <x:c r="Q182" s="49"/>
      <x:c r="R182" s="49"/>
      <x:c r="S182" s="49"/>
      <x:c r="T182" s="49"/>
      <x:c r="U182" s="49"/>
      <x:c r="V182" s="49"/>
      <x:c r="W182" s="49"/>
      <x:c r="X182" s="49"/>
      <x:c r="Y182" s="49"/>
      <x:c r="Z182" s="49"/>
    </x:row>
    <x:row r="183">
      <x:c r="A183" s="51" t="str">
        <x:v>MM.28.12</x:v>
      </x:c>
      <x:c r="B183" s="51" t="str">
        <x:v>MM.28</x:v>
      </x:c>
      <x:c r="C183" s="59" t="b">
        <x:v>0</x:v>
      </x:c>
      <x:c r="D183" s="51" t="str">
        <x:v>Special chemotherapy protective materials such as gloves, gowns, and masks are adequately available and consistently used.</x:v>
      </x:c>
      <x:c r="E183" s="51" t="str"/>
      <x:c r="F183" s="51" t="n">
        <x:v>0</x:v>
      </x:c>
      <x:c r="G183" s="51" t="n">
        <x:v>0</x:v>
      </x:c>
      <x:c r="H183" s="51" t="n">
        <x:v>0</x:v>
      </x:c>
      <x:c r="I183" s="51" t="str">
        <x:v>Missing</x:v>
      </x:c>
      <x:c r="J183" s="51" t="n">
        <x:v>0</x:v>
      </x:c>
      <x:c r="K183" s="51" t="n">
        <x:v>0</x:v>
      </x:c>
      <x:c r="L183" s="51" t="n">
        <x:f>MIN(100,IF(C183,20,0)+F183*45+G183*30+H183*15+IF(I183="CriticalBlocked",30,IF(I183="Blocked",20,IF(I183="Missing",20,IF(I183="Partial",10,0))))+J183*20+K183*10)</x:f>
        <x:v>20</x:v>
      </x:c>
      <x:c r="M183" s="51" t="str">
        <x:f>IF(L183&gt;=75,"Critical",IF(L183&gt;=50,"High",IF(L183&gt;=25,"Moderate","Low")))</x:f>
        <x:v>Low</x:v>
      </x:c>
      <x:c r="N183" s="51" t="str">
        <x:v>Unreviewed</x:v>
      </x:c>
      <x:c r="O183" s="51" t="str"/>
      <x:c r="P183" s="51" t="str"/>
      <x:c r="Q183" s="49"/>
      <x:c r="R183" s="49"/>
      <x:c r="S183" s="49"/>
      <x:c r="T183" s="49"/>
      <x:c r="U183" s="49"/>
      <x:c r="V183" s="49"/>
      <x:c r="W183" s="49"/>
      <x:c r="X183" s="49"/>
      <x:c r="Y183" s="49"/>
      <x:c r="Z183" s="49"/>
    </x:row>
    <x:row r="184">
      <x:c r="A184" s="51" t="str">
        <x:v>MM.28.13</x:v>
      </x:c>
      <x:c r="B184" s="51" t="str">
        <x:v>MM.28</x:v>
      </x:c>
      <x:c r="C184" s="59" t="b">
        <x:v>0</x:v>
      </x:c>
      <x:c r="D184" s="51" t="str">
        <x:v>Chemotherapy spill kits are available in all areas where chemotherapy agents are stored, prepared, dispensed, and/or administered.</x:v>
      </x:c>
      <x:c r="E184" s="51" t="str"/>
      <x:c r="F184" s="51" t="n">
        <x:v>0</x:v>
      </x:c>
      <x:c r="G184" s="51" t="n">
        <x:v>0</x:v>
      </x:c>
      <x:c r="H184" s="51" t="n">
        <x:v>0</x:v>
      </x:c>
      <x:c r="I184" s="51" t="str">
        <x:v>Missing</x:v>
      </x:c>
      <x:c r="J184" s="51" t="n">
        <x:v>0</x:v>
      </x:c>
      <x:c r="K184" s="51" t="n">
        <x:v>0</x:v>
      </x:c>
      <x:c r="L184" s="51" t="n">
        <x:f>MIN(100,IF(C184,20,0)+F184*45+G184*30+H184*15+IF(I184="CriticalBlocked",30,IF(I184="Blocked",20,IF(I184="Missing",20,IF(I184="Partial",10,0))))+J184*20+K184*10)</x:f>
        <x:v>20</x:v>
      </x:c>
      <x:c r="M184" s="51" t="str">
        <x:f>IF(L184&gt;=75,"Critical",IF(L184&gt;=50,"High",IF(L184&gt;=25,"Moderate","Low")))</x:f>
        <x:v>Low</x:v>
      </x:c>
      <x:c r="N184" s="51" t="str">
        <x:v>Unreviewed</x:v>
      </x:c>
      <x:c r="O184" s="51" t="str"/>
      <x:c r="P184" s="51" t="str"/>
      <x:c r="Q184" s="49"/>
      <x:c r="R184" s="49"/>
      <x:c r="S184" s="49"/>
      <x:c r="T184" s="49"/>
      <x:c r="U184" s="49"/>
      <x:c r="V184" s="49"/>
      <x:c r="W184" s="49"/>
      <x:c r="X184" s="49"/>
      <x:c r="Y184" s="49"/>
      <x:c r="Z184" s="49"/>
    </x:row>
    <x:row r="185">
      <x:c r="A185" s="51" t="str">
        <x:v>MM.28.14</x:v>
      </x:c>
      <x:c r="B185" s="51" t="str">
        <x:v>MM.28</x:v>
      </x:c>
      <x:c r="C185" s="59" t="b">
        <x:v>0</x:v>
      </x:c>
      <x:c r="D185" s="51" t="str">
        <x:v>Relevant staff are trained on the proper handling of chemotherapy spills.</x:v>
      </x:c>
      <x:c r="E185" s="51" t="str"/>
      <x:c r="F185" s="51" t="n">
        <x:v>0</x:v>
      </x:c>
      <x:c r="G185" s="51" t="n">
        <x:v>0</x:v>
      </x:c>
      <x:c r="H185" s="51" t="n">
        <x:v>0</x:v>
      </x:c>
      <x:c r="I185" s="51" t="str">
        <x:v>Missing</x:v>
      </x:c>
      <x:c r="J185" s="51" t="n">
        <x:v>0</x:v>
      </x:c>
      <x:c r="K185" s="51" t="n">
        <x:v>0</x:v>
      </x:c>
      <x:c r="L185" s="51" t="n">
        <x:f>MIN(100,IF(C185,20,0)+F185*45+G185*30+H185*15+IF(I185="CriticalBlocked",30,IF(I185="Blocked",20,IF(I185="Missing",20,IF(I185="Partial",10,0))))+J185*20+K185*10)</x:f>
        <x:v>20</x:v>
      </x:c>
      <x:c r="M185" s="51" t="str">
        <x:f>IF(L185&gt;=75,"Critical",IF(L185&gt;=50,"High",IF(L185&gt;=25,"Moderate","Low")))</x:f>
        <x:v>Low</x:v>
      </x:c>
      <x:c r="N185" s="51" t="str">
        <x:v>Unreviewed</x:v>
      </x:c>
      <x:c r="O185" s="51" t="str"/>
      <x:c r="P185" s="51" t="str"/>
      <x:c r="Q185" s="49"/>
      <x:c r="R185" s="49"/>
      <x:c r="S185" s="49"/>
      <x:c r="T185" s="49"/>
      <x:c r="U185" s="49"/>
      <x:c r="V185" s="49"/>
      <x:c r="W185" s="49"/>
      <x:c r="X185" s="49"/>
      <x:c r="Y185" s="49"/>
      <x:c r="Z185" s="49"/>
    </x:row>
    <x:row r="186">
      <x:c r="A186" s="51" t="str">
        <x:v>MM.28.15</x:v>
      </x:c>
      <x:c r="B186" s="51" t="str">
        <x:v>MM.28</x:v>
      </x:c>
      <x:c r="C186" s="59" t="b">
        <x:v>0</x:v>
      </x:c>
      <x:c r="D186" s="51" t="str">
        <x:v>Trash plastic bags for collection and disposal of contaminated materials and articles used for preparation, dispensing and/or administration of chemotherapy are as guided by the Saudi Food and Drug Authority (SFDA) and the international organizations standards such as Occupational Safety &amp; Health Administration (OSHA).</x:v>
      </x:c>
      <x:c r="E186" s="51" t="str"/>
      <x:c r="F186" s="51" t="n">
        <x:v>0</x:v>
      </x:c>
      <x:c r="G186" s="51" t="n">
        <x:v>0</x:v>
      </x:c>
      <x:c r="H186" s="51" t="n">
        <x:v>0</x:v>
      </x:c>
      <x:c r="I186" s="51" t="str">
        <x:v>Missing</x:v>
      </x:c>
      <x:c r="J186" s="51" t="n">
        <x:v>0</x:v>
      </x:c>
      <x:c r="K186" s="51" t="n">
        <x:v>0</x:v>
      </x:c>
      <x:c r="L186" s="51" t="n">
        <x:f>MIN(100,IF(C186,20,0)+F186*45+G186*30+H186*15+IF(I186="CriticalBlocked",30,IF(I186="Blocked",20,IF(I186="Missing",20,IF(I186="Partial",10,0))))+J186*20+K186*10)</x:f>
        <x:v>20</x:v>
      </x:c>
      <x:c r="M186" s="51" t="str">
        <x:f>IF(L186&gt;=75,"Critical",IF(L186&gt;=50,"High",IF(L186&gt;=25,"Moderate","Low")))</x:f>
        <x:v>Low</x:v>
      </x:c>
      <x:c r="N186" s="51" t="str">
        <x:v>Unreviewed</x:v>
      </x:c>
      <x:c r="O186" s="51" t="str"/>
      <x:c r="P186" s="51" t="str"/>
      <x:c r="Q186" s="49"/>
      <x:c r="R186" s="49"/>
      <x:c r="S186" s="49"/>
      <x:c r="T186" s="49"/>
      <x:c r="U186" s="49"/>
      <x:c r="V186" s="49"/>
      <x:c r="W186" s="49"/>
      <x:c r="X186" s="49"/>
      <x:c r="Y186" s="49"/>
      <x:c r="Z186" s="49"/>
    </x:row>
    <x:row r="187">
      <x:c r="A187" s="51" t="str">
        <x:v>MM.28.16</x:v>
      </x:c>
      <x:c r="B187" s="51" t="str">
        <x:v>MM.28</x:v>
      </x:c>
      <x:c r="C187" s="59" t="b">
        <x:v>0</x:v>
      </x:c>
      <x:c r="D187" s="51" t="str">
        <x:v>When chemotherapy products are compounded by an outside vendor, the pharmaceutical care team maintains a copy of the contract and ensures compliance of the vendor with quality and safety standards. Contract monitoring is conducted at least annually with corrective actions accordingly.</x:v>
      </x:c>
      <x:c r="E187" s="51" t="str"/>
      <x:c r="F187" s="51" t="n">
        <x:v>0</x:v>
      </x:c>
      <x:c r="G187" s="51" t="n">
        <x:v>0</x:v>
      </x:c>
      <x:c r="H187" s="51" t="n">
        <x:v>0</x:v>
      </x:c>
      <x:c r="I187" s="51" t="str">
        <x:v>Missing</x:v>
      </x:c>
      <x:c r="J187" s="51" t="n">
        <x:v>0</x:v>
      </x:c>
      <x:c r="K187" s="51" t="n">
        <x:v>0</x:v>
      </x:c>
      <x:c r="L187" s="51" t="n">
        <x:f>MIN(100,IF(C187,20,0)+F187*45+G187*30+H187*15+IF(I187="CriticalBlocked",30,IF(I187="Blocked",20,IF(I187="Missing",20,IF(I187="Partial",10,0))))+J187*20+K187*10)</x:f>
        <x:v>20</x:v>
      </x:c>
      <x:c r="M187" s="51" t="str">
        <x:f>IF(L187&gt;=75,"Critical",IF(L187&gt;=50,"High",IF(L187&gt;=25,"Moderate","Low")))</x:f>
        <x:v>Low</x:v>
      </x:c>
      <x:c r="N187" s="51" t="str">
        <x:v>Unreviewed</x:v>
      </x:c>
      <x:c r="O187" s="51" t="str"/>
      <x:c r="P187" s="51" t="str"/>
      <x:c r="Q187" s="49"/>
      <x:c r="R187" s="49"/>
      <x:c r="S187" s="49"/>
      <x:c r="T187" s="49"/>
      <x:c r="U187" s="49"/>
      <x:c r="V187" s="49"/>
      <x:c r="W187" s="49"/>
      <x:c r="X187" s="49"/>
      <x:c r="Y187" s="49"/>
      <x:c r="Z187" s="49"/>
    </x:row>
    <x:row r="188">
      <x:c r="A188" s="51" t="str">
        <x:v>MM.29.1</x:v>
      </x:c>
      <x:c r="B188" s="51" t="str">
        <x:v>MM.29</x:v>
      </x:c>
      <x:c r="C188" s="59" t="b">
        <x:v>0</x:v>
      </x:c>
      <x:c r="D188" s="51" t="str">
        <x:v>There is a multidisciplinary policy and procedure on non-sterile compounding of oral and topical preparations not readily available from manufacturers.</x:v>
      </x:c>
      <x:c r="E188" s="51" t="str"/>
      <x:c r="F188" s="51" t="n">
        <x:v>0</x:v>
      </x:c>
      <x:c r="G188" s="51" t="n">
        <x:v>0</x:v>
      </x:c>
      <x:c r="H188" s="51" t="n">
        <x:v>0</x:v>
      </x:c>
      <x:c r="I188" s="51" t="str">
        <x:v>Missing</x:v>
      </x:c>
      <x:c r="J188" s="51" t="n">
        <x:v>0</x:v>
      </x:c>
      <x:c r="K188" s="51" t="n">
        <x:v>0</x:v>
      </x:c>
      <x:c r="L188" s="51" t="n">
        <x:f>MIN(100,IF(C188,20,0)+F188*45+G188*30+H188*15+IF(I188="CriticalBlocked",30,IF(I188="Blocked",20,IF(I188="Missing",20,IF(I188="Partial",10,0))))+J188*20+K188*10)</x:f>
        <x:v>20</x:v>
      </x:c>
      <x:c r="M188" s="51" t="str">
        <x:f>IF(L188&gt;=75,"Critical",IF(L188&gt;=50,"High",IF(L188&gt;=25,"Moderate","Low")))</x:f>
        <x:v>Low</x:v>
      </x:c>
      <x:c r="N188" s="51" t="str">
        <x:v>Unreviewed</x:v>
      </x:c>
      <x:c r="O188" s="51" t="str"/>
      <x:c r="P188" s="51" t="str"/>
      <x:c r="Q188" s="49"/>
      <x:c r="R188" s="49"/>
      <x:c r="S188" s="49"/>
      <x:c r="T188" s="49"/>
      <x:c r="U188" s="49"/>
      <x:c r="V188" s="49"/>
      <x:c r="W188" s="49"/>
      <x:c r="X188" s="49"/>
      <x:c r="Y188" s="49"/>
      <x:c r="Z188" s="49"/>
    </x:row>
    <x:row r="189">
      <x:c r="A189" s="51" t="str">
        <x:v>MM.29.2</x:v>
      </x:c>
      <x:c r="B189" s="51" t="str">
        <x:v>MM.29</x:v>
      </x:c>
      <x:c r="C189" s="59" t="b">
        <x:v>0</x:v>
      </x:c>
      <x:c r="D189" s="51" t="str">
        <x:v>The pharmaceutical care has proper facilities for non- sterile compounding that include clean work bench with smooth surface, stainless steel sink with water supply, and storage cabinets.</x:v>
      </x:c>
      <x:c r="E189" s="51" t="str"/>
      <x:c r="F189" s="51" t="n">
        <x:v>0</x:v>
      </x:c>
      <x:c r="G189" s="51" t="n">
        <x:v>0</x:v>
      </x:c>
      <x:c r="H189" s="51" t="n">
        <x:v>0</x:v>
      </x:c>
      <x:c r="I189" s="51" t="str">
        <x:v>Missing</x:v>
      </x:c>
      <x:c r="J189" s="51" t="n">
        <x:v>0</x:v>
      </x:c>
      <x:c r="K189" s="51" t="n">
        <x:v>0</x:v>
      </x:c>
      <x:c r="L189" s="51" t="n">
        <x:f>MIN(100,IF(C189,20,0)+F189*45+G189*30+H189*15+IF(I189="CriticalBlocked",30,IF(I189="Blocked",20,IF(I189="Missing",20,IF(I189="Partial",10,0))))+J189*20+K189*10)</x:f>
        <x:v>20</x:v>
      </x:c>
      <x:c r="M189" s="51" t="str">
        <x:f>IF(L189&gt;=75,"Critical",IF(L189&gt;=50,"High",IF(L189&gt;=25,"Moderate","Low")))</x:f>
        <x:v>Low</x:v>
      </x:c>
      <x:c r="N189" s="51" t="str">
        <x:v>Unreviewed</x:v>
      </x:c>
      <x:c r="O189" s="51" t="str"/>
      <x:c r="P189" s="51" t="str"/>
      <x:c r="Q189" s="49"/>
      <x:c r="R189" s="49"/>
      <x:c r="S189" s="49"/>
      <x:c r="T189" s="49"/>
      <x:c r="U189" s="49"/>
      <x:c r="V189" s="49"/>
      <x:c r="W189" s="49"/>
      <x:c r="X189" s="49"/>
      <x:c r="Y189" s="49"/>
      <x:c r="Z189" s="49"/>
    </x:row>
    <x:row r="190">
      <x:c r="A190" s="51" t="str">
        <x:v>MM.29.3</x:v>
      </x:c>
      <x:c r="B190" s="51" t="str">
        <x:v>MM.29</x:v>
      </x:c>
      <x:c r="C190" s="59" t="b">
        <x:v>0</x:v>
      </x:c>
      <x:c r="D190" s="51" t="str">
        <x:v>The pharmaceutical care has essential equipment and glass wares that include sensitive balance, electric heater, mortar and pestle, beakers, flasks, and measuring cylinders</x:v>
      </x:c>
      <x:c r="E190" s="51" t="str"/>
      <x:c r="F190" s="51" t="n">
        <x:v>0</x:v>
      </x:c>
      <x:c r="G190" s="51" t="n">
        <x:v>0</x:v>
      </x:c>
      <x:c r="H190" s="51" t="n">
        <x:v>0</x:v>
      </x:c>
      <x:c r="I190" s="51" t="str">
        <x:v>Missing</x:v>
      </x:c>
      <x:c r="J190" s="51" t="n">
        <x:v>0</x:v>
      </x:c>
      <x:c r="K190" s="51" t="n">
        <x:v>0</x:v>
      </x:c>
      <x:c r="L190" s="51" t="n">
        <x:f>MIN(100,IF(C190,20,0)+F190*45+G190*30+H190*15+IF(I190="CriticalBlocked",30,IF(I190="Blocked",20,IF(I190="Missing",20,IF(I190="Partial",10,0))))+J190*20+K190*10)</x:f>
        <x:v>20</x:v>
      </x:c>
      <x:c r="M190" s="51" t="str">
        <x:f>IF(L190&gt;=75,"Critical",IF(L190&gt;=50,"High",IF(L190&gt;=25,"Moderate","Low")))</x:f>
        <x:v>Low</x:v>
      </x:c>
      <x:c r="N190" s="51" t="str">
        <x:v>Unreviewed</x:v>
      </x:c>
      <x:c r="O190" s="51" t="str"/>
      <x:c r="P190" s="51" t="str"/>
      <x:c r="Q190" s="49"/>
      <x:c r="R190" s="49"/>
      <x:c r="S190" s="49"/>
      <x:c r="T190" s="49"/>
      <x:c r="U190" s="49"/>
      <x:c r="V190" s="49"/>
      <x:c r="W190" s="49"/>
      <x:c r="X190" s="49"/>
      <x:c r="Y190" s="49"/>
      <x:c r="Z190" s="49"/>
    </x:row>
    <x:row r="191">
      <x:c r="A191" s="51" t="str">
        <x:v>MM.29.4</x:v>
      </x:c>
      <x:c r="B191" s="51" t="str">
        <x:v>MM.29</x:v>
      </x:c>
      <x:c r="C191" s="59" t="b">
        <x:v>0</x:v>
      </x:c>
      <x:c r="D191" s="51" t="str">
        <x:v>The pharmaceutical care has a preparation manual (formulation book) that is properly referenced.</x:v>
      </x:c>
      <x:c r="E191" s="51" t="str"/>
      <x:c r="F191" s="51" t="n">
        <x:v>0</x:v>
      </x:c>
      <x:c r="G191" s="51" t="n">
        <x:v>0</x:v>
      </x:c>
      <x:c r="H191" s="51" t="n">
        <x:v>0</x:v>
      </x:c>
      <x:c r="I191" s="51" t="str">
        <x:v>Missing</x:v>
      </x:c>
      <x:c r="J191" s="51" t="n">
        <x:v>0</x:v>
      </x:c>
      <x:c r="K191" s="51" t="n">
        <x:v>0</x:v>
      </x:c>
      <x:c r="L191" s="51" t="n">
        <x:f>MIN(100,IF(C191,20,0)+F191*45+G191*30+H191*15+IF(I191="CriticalBlocked",30,IF(I191="Blocked",20,IF(I191="Missing",20,IF(I191="Partial",10,0))))+J191*20+K191*10)</x:f>
        <x:v>20</x:v>
      </x:c>
      <x:c r="M191" s="51" t="str">
        <x:f>IF(L191&gt;=75,"Critical",IF(L191&gt;=50,"High",IF(L191&gt;=25,"Moderate","Low")))</x:f>
        <x:v>Low</x:v>
      </x:c>
      <x:c r="N191" s="51" t="str">
        <x:v>Unreviewed</x:v>
      </x:c>
      <x:c r="O191" s="51" t="str"/>
      <x:c r="P191" s="51" t="str"/>
      <x:c r="Q191" s="49"/>
      <x:c r="R191" s="49"/>
      <x:c r="S191" s="49"/>
      <x:c r="T191" s="49"/>
      <x:c r="U191" s="49"/>
      <x:c r="V191" s="49"/>
      <x:c r="W191" s="49"/>
      <x:c r="X191" s="49"/>
      <x:c r="Y191" s="49"/>
      <x:c r="Z191" s="49"/>
    </x:row>
    <x:row r="192">
      <x:c r="A192" s="51" t="str">
        <x:v>MM.29.5</x:v>
      </x:c>
      <x:c r="B192" s="51" t="str">
        <x:v>MM.29</x:v>
      </x:c>
      <x:c r="C192" s="59" t="b">
        <x:v>0</x:v>
      </x:c>
      <x:c r="D192" s="51" t="str">
        <x:v>A log book is maintained for preparation name, strength, prepared quantity, batch number, preparation date and expiration date, prepared by and checked by.</x:v>
      </x:c>
      <x:c r="E192" s="51" t="str"/>
      <x:c r="F192" s="51" t="n">
        <x:v>0</x:v>
      </x:c>
      <x:c r="G192" s="51" t="n">
        <x:v>0</x:v>
      </x:c>
      <x:c r="H192" s="51" t="n">
        <x:v>0</x:v>
      </x:c>
      <x:c r="I192" s="51" t="str">
        <x:v>Missing</x:v>
      </x:c>
      <x:c r="J192" s="51" t="n">
        <x:v>0</x:v>
      </x:c>
      <x:c r="K192" s="51" t="n">
        <x:v>0</x:v>
      </x:c>
      <x:c r="L192" s="51" t="n">
        <x:f>MIN(100,IF(C192,20,0)+F192*45+G192*30+H192*15+IF(I192="CriticalBlocked",30,IF(I192="Blocked",20,IF(I192="Missing",20,IF(I192="Partial",10,0))))+J192*20+K192*10)</x:f>
        <x:v>20</x:v>
      </x:c>
      <x:c r="M192" s="51" t="str">
        <x:f>IF(L192&gt;=75,"Critical",IF(L192&gt;=50,"High",IF(L192&gt;=25,"Moderate","Low")))</x:f>
        <x:v>Low</x:v>
      </x:c>
      <x:c r="N192" s="51" t="str">
        <x:v>Unreviewed</x:v>
      </x:c>
      <x:c r="O192" s="51" t="str"/>
      <x:c r="P192" s="51" t="str"/>
      <x:c r="Q192" s="49"/>
      <x:c r="R192" s="49"/>
      <x:c r="S192" s="49"/>
      <x:c r="T192" s="49"/>
      <x:c r="U192" s="49"/>
      <x:c r="V192" s="49"/>
      <x:c r="W192" s="49"/>
      <x:c r="X192" s="49"/>
      <x:c r="Y192" s="49"/>
      <x:c r="Z192" s="49"/>
    </x:row>
    <x:row r="193">
      <x:c r="A193" s="51" t="str">
        <x:v>MM.29.6</x:v>
      </x:c>
      <x:c r="B193" s="51" t="str">
        <x:v>MM.29</x:v>
      </x:c>
      <x:c r="C193" s="59" t="b">
        <x:v>0</x:v>
      </x:c>
      <x:c r="D193" s="51" t="str">
        <x:v>When non-sterile compounded preparations are compounded by an outside vendor, the pharmaceutical care team maintains a copy of the contract and ensures compliance of the vendor with quality and safety standards. Contract monitoring is conducted at least annually with corrective actions accordingly.</x:v>
      </x:c>
      <x:c r="E193" s="51" t="str"/>
      <x:c r="F193" s="51" t="n">
        <x:v>0</x:v>
      </x:c>
      <x:c r="G193" s="51" t="n">
        <x:v>0</x:v>
      </x:c>
      <x:c r="H193" s="51" t="n">
        <x:v>0</x:v>
      </x:c>
      <x:c r="I193" s="51" t="str">
        <x:v>Missing</x:v>
      </x:c>
      <x:c r="J193" s="51" t="n">
        <x:v>0</x:v>
      </x:c>
      <x:c r="K193" s="51" t="n">
        <x:v>0</x:v>
      </x:c>
      <x:c r="L193" s="51" t="n">
        <x:f>MIN(100,IF(C193,20,0)+F193*45+G193*30+H193*15+IF(I193="CriticalBlocked",30,IF(I193="Blocked",20,IF(I193="Missing",20,IF(I193="Partial",10,0))))+J193*20+K193*10)</x:f>
        <x:v>20</x:v>
      </x:c>
      <x:c r="M193" s="51" t="str">
        <x:f>IF(L193&gt;=75,"Critical",IF(L193&gt;=50,"High",IF(L193&gt;=25,"Moderate","Low")))</x:f>
        <x:v>Low</x:v>
      </x:c>
      <x:c r="N193" s="51" t="str">
        <x:v>Unreviewed</x:v>
      </x:c>
      <x:c r="O193" s="51" t="str"/>
      <x:c r="P193" s="51" t="str"/>
      <x:c r="Q193" s="49"/>
      <x:c r="R193" s="49"/>
      <x:c r="S193" s="49"/>
      <x:c r="T193" s="49"/>
      <x:c r="U193" s="49"/>
      <x:c r="V193" s="49"/>
      <x:c r="W193" s="49"/>
      <x:c r="X193" s="49"/>
      <x:c r="Y193" s="49"/>
      <x:c r="Z193" s="49"/>
    </x:row>
    <x:row r="194">
      <x:c r="A194" s="51" t="str">
        <x:v>MM.30.1</x:v>
      </x:c>
      <x:c r="B194" s="51" t="str">
        <x:v>MM.30</x:v>
      </x:c>
      <x:c r="C194" s="59" t="b">
        <x:v>0</x:v>
      </x:c>
      <x:c r="D194" s="51" t="str">
        <x:v>All areas where medications are stored, compounded, prepared, dispensed, and /or administered are clean, neat and well organized.</x:v>
      </x:c>
      <x:c r="E194" s="51" t="str"/>
      <x:c r="F194" s="51" t="n">
        <x:v>0</x:v>
      </x:c>
      <x:c r="G194" s="51" t="n">
        <x:v>0</x:v>
      </x:c>
      <x:c r="H194" s="51" t="n">
        <x:v>0</x:v>
      </x:c>
      <x:c r="I194" s="51" t="str">
        <x:v>Missing</x:v>
      </x:c>
      <x:c r="J194" s="51" t="n">
        <x:v>0</x:v>
      </x:c>
      <x:c r="K194" s="51" t="n">
        <x:v>0</x:v>
      </x:c>
      <x:c r="L194" s="51" t="n">
        <x:f>MIN(100,IF(C194,20,0)+F194*45+G194*30+H194*15+IF(I194="CriticalBlocked",30,IF(I194="Blocked",20,IF(I194="Missing",20,IF(I194="Partial",10,0))))+J194*20+K194*10)</x:f>
        <x:v>20</x:v>
      </x:c>
      <x:c r="M194" s="51" t="str">
        <x:f>IF(L194&gt;=75,"Critical",IF(L194&gt;=50,"High",IF(L194&gt;=25,"Moderate","Low")))</x:f>
        <x:v>Low</x:v>
      </x:c>
      <x:c r="N194" s="51" t="str">
        <x:v>Unreviewed</x:v>
      </x:c>
      <x:c r="O194" s="51" t="str"/>
      <x:c r="P194" s="51" t="str"/>
      <x:c r="Q194" s="49"/>
      <x:c r="R194" s="49"/>
      <x:c r="S194" s="49"/>
      <x:c r="T194" s="49"/>
      <x:c r="U194" s="49"/>
      <x:c r="V194" s="49"/>
      <x:c r="W194" s="49"/>
      <x:c r="X194" s="49"/>
      <x:c r="Y194" s="49"/>
      <x:c r="Z194" s="49"/>
    </x:row>
    <x:row r="195">
      <x:c r="A195" s="51" t="str">
        <x:v>MM.30.2</x:v>
      </x:c>
      <x:c r="B195" s="51" t="str">
        <x:v>MM.30</x:v>
      </x:c>
      <x:c r="C195" s="59" t="b">
        <x:v>0</x:v>
      </x:c>
      <x:c r="D195" s="51" t="str">
        <x:v>The pharmaceutical care has a separate housekeeping materials dedicated for the clean room.</x:v>
      </x:c>
      <x:c r="E195" s="51" t="str"/>
      <x:c r="F195" s="51" t="n">
        <x:v>0</x:v>
      </x:c>
      <x:c r="G195" s="51" t="n">
        <x:v>0</x:v>
      </x:c>
      <x:c r="H195" s="51" t="n">
        <x:v>0</x:v>
      </x:c>
      <x:c r="I195" s="51" t="str">
        <x:v>Missing</x:v>
      </x:c>
      <x:c r="J195" s="51" t="n">
        <x:v>0</x:v>
      </x:c>
      <x:c r="K195" s="51" t="n">
        <x:v>0</x:v>
      </x:c>
      <x:c r="L195" s="51" t="n">
        <x:f>MIN(100,IF(C195,20,0)+F195*45+G195*30+H195*15+IF(I195="CriticalBlocked",30,IF(I195="Blocked",20,IF(I195="Missing",20,IF(I195="Partial",10,0))))+J195*20+K195*10)</x:f>
        <x:v>20</x:v>
      </x:c>
      <x:c r="M195" s="51" t="str">
        <x:f>IF(L195&gt;=75,"Critical",IF(L195&gt;=50,"High",IF(L195&gt;=25,"Moderate","Low")))</x:f>
        <x:v>Low</x:v>
      </x:c>
      <x:c r="N195" s="51" t="str">
        <x:v>Unreviewed</x:v>
      </x:c>
      <x:c r="O195" s="51" t="str"/>
      <x:c r="P195" s="51" t="str"/>
      <x:c r="Q195" s="49"/>
      <x:c r="R195" s="49"/>
      <x:c r="S195" s="49"/>
      <x:c r="T195" s="49"/>
      <x:c r="U195" s="49"/>
      <x:c r="V195" s="49"/>
      <x:c r="W195" s="49"/>
      <x:c r="X195" s="49"/>
      <x:c r="Y195" s="49"/>
      <x:c r="Z195" s="49"/>
    </x:row>
    <x:row r="196">
      <x:c r="A196" s="51" t="str">
        <x:v>MM.30.3</x:v>
      </x:c>
      <x:c r="B196" s="51" t="str">
        <x:v>MM.30</x:v>
      </x:c>
      <x:c r="C196" s="59" t="b">
        <x:v>0</x:v>
      </x:c>
      <x:c r="D196" s="51" t="str">
        <x:v>A sink, antiseptic soap, and/or antiseptic hand rub are available in the pharmaceutical care department and all other areas where medications are stored, compounded, prepared, dispensed, and /or administered.</x:v>
      </x:c>
      <x:c r="E196" s="51" t="str"/>
      <x:c r="F196" s="51" t="n">
        <x:v>0</x:v>
      </x:c>
      <x:c r="G196" s="51" t="n">
        <x:v>0</x:v>
      </x:c>
      <x:c r="H196" s="51" t="n">
        <x:v>0</x:v>
      </x:c>
      <x:c r="I196" s="51" t="str">
        <x:v>Missing</x:v>
      </x:c>
      <x:c r="J196" s="51" t="n">
        <x:v>0</x:v>
      </x:c>
      <x:c r="K196" s="51" t="n">
        <x:v>0</x:v>
      </x:c>
      <x:c r="L196" s="51" t="n">
        <x:f>MIN(100,IF(C196,20,0)+F196*45+G196*30+H196*15+IF(I196="CriticalBlocked",30,IF(I196="Blocked",20,IF(I196="Missing",20,IF(I196="Partial",10,0))))+J196*20+K196*10)</x:f>
        <x:v>20</x:v>
      </x:c>
      <x:c r="M196" s="51" t="str">
        <x:f>IF(L196&gt;=75,"Critical",IF(L196&gt;=50,"High",IF(L196&gt;=25,"Moderate","Low")))</x:f>
        <x:v>Low</x:v>
      </x:c>
      <x:c r="N196" s="51" t="str">
        <x:v>Unreviewed</x:v>
      </x:c>
      <x:c r="O196" s="51" t="str"/>
      <x:c r="P196" s="51" t="str"/>
      <x:c r="Q196" s="49"/>
      <x:c r="R196" s="49"/>
      <x:c r="S196" s="49"/>
      <x:c r="T196" s="49"/>
      <x:c r="U196" s="49"/>
      <x:c r="V196" s="49"/>
      <x:c r="W196" s="49"/>
      <x:c r="X196" s="49"/>
      <x:c r="Y196" s="49"/>
      <x:c r="Z196" s="49"/>
    </x:row>
    <x:row r="197">
      <x:c r="A197" s="51" t="str">
        <x:v>MM.30.4</x:v>
      </x:c>
      <x:c r="B197" s="51" t="str">
        <x:v>MM.30</x:v>
      </x:c>
      <x:c r="C197" s="59" t="b">
        <x:v>0</x:v>
      </x:c>
      <x:c r="D197" s="51" t="str">
        <x:v>Hand washing technique, and antiseptic soap are in accordance with the hospital’s policy and procedures.</x:v>
      </x:c>
      <x:c r="E197" s="51" t="str"/>
      <x:c r="F197" s="51" t="n">
        <x:v>0</x:v>
      </x:c>
      <x:c r="G197" s="51" t="n">
        <x:v>0</x:v>
      </x:c>
      <x:c r="H197" s="51" t="n">
        <x:v>0</x:v>
      </x:c>
      <x:c r="I197" s="51" t="str">
        <x:v>Missing</x:v>
      </x:c>
      <x:c r="J197" s="51" t="n">
        <x:v>0</x:v>
      </x:c>
      <x:c r="K197" s="51" t="n">
        <x:v>0</x:v>
      </x:c>
      <x:c r="L197" s="51" t="n">
        <x:f>MIN(100,IF(C197,20,0)+F197*45+G197*30+H197*15+IF(I197="CriticalBlocked",30,IF(I197="Blocked",20,IF(I197="Missing",20,IF(I197="Partial",10,0))))+J197*20+K197*10)</x:f>
        <x:v>20</x:v>
      </x:c>
      <x:c r="M197" s="51" t="str">
        <x:f>IF(L197&gt;=75,"Critical",IF(L197&gt;=50,"High",IF(L197&gt;=25,"Moderate","Low")))</x:f>
        <x:v>Low</x:v>
      </x:c>
      <x:c r="N197" s="51" t="str">
        <x:v>Unreviewed</x:v>
      </x:c>
      <x:c r="O197" s="51" t="str"/>
      <x:c r="P197" s="51" t="str"/>
      <x:c r="Q197" s="49"/>
      <x:c r="R197" s="49"/>
      <x:c r="S197" s="49"/>
      <x:c r="T197" s="49"/>
      <x:c r="U197" s="49"/>
      <x:c r="V197" s="49"/>
      <x:c r="W197" s="49"/>
      <x:c r="X197" s="49"/>
      <x:c r="Y197" s="49"/>
      <x:c r="Z197" s="49"/>
    </x:row>
    <x:row r="198">
      <x:c r="A198" s="51" t="str">
        <x:v>MM.30.5</x:v>
      </x:c>
      <x:c r="B198" s="51" t="str">
        <x:v>MM.30</x:v>
      </x:c>
      <x:c r="C198" s="59" t="b">
        <x:v>0</x:v>
      </x:c>
      <x:c r="D198" s="51" t="str">
        <x:v>Pharmaceutical care staff observe the hospital approved standard precautions and understand the hospital’s isolation policy and procedure to reduce the risk of transmission of infection</x:v>
      </x:c>
      <x:c r="E198" s="51" t="str"/>
      <x:c r="F198" s="51" t="n">
        <x:v>0</x:v>
      </x:c>
      <x:c r="G198" s="51" t="n">
        <x:v>0</x:v>
      </x:c>
      <x:c r="H198" s="51" t="n">
        <x:v>0</x:v>
      </x:c>
      <x:c r="I198" s="51" t="str">
        <x:v>Missing</x:v>
      </x:c>
      <x:c r="J198" s="51" t="n">
        <x:v>0</x:v>
      </x:c>
      <x:c r="K198" s="51" t="n">
        <x:v>0</x:v>
      </x:c>
      <x:c r="L198" s="51" t="n">
        <x:f>MIN(100,IF(C198,20,0)+F198*45+G198*30+H198*15+IF(I198="CriticalBlocked",30,IF(I198="Blocked",20,IF(I198="Missing",20,IF(I198="Partial",10,0))))+J198*20+K198*10)</x:f>
        <x:v>20</x:v>
      </x:c>
      <x:c r="M198" s="51" t="str">
        <x:f>IF(L198&gt;=75,"Critical",IF(L198&gt;=50,"High",IF(L198&gt;=25,"Moderate","Low")))</x:f>
        <x:v>Low</x:v>
      </x:c>
      <x:c r="N198" s="51" t="str">
        <x:v>Unreviewed</x:v>
      </x:c>
      <x:c r="O198" s="51" t="str"/>
      <x:c r="P198" s="51" t="str"/>
      <x:c r="Q198" s="49"/>
      <x:c r="R198" s="49"/>
      <x:c r="S198" s="49"/>
      <x:c r="T198" s="49"/>
      <x:c r="U198" s="49"/>
      <x:c r="V198" s="49"/>
      <x:c r="W198" s="49"/>
      <x:c r="X198" s="49"/>
      <x:c r="Y198" s="49"/>
      <x:c r="Z198" s="49"/>
    </x:row>
    <x:row r="199">
      <x:c r="A199" s="51" t="str">
        <x:v>MM.30.6</x:v>
      </x:c>
      <x:c r="B199" s="51" t="str">
        <x:v>MM.30</x:v>
      </x:c>
      <x:c r="C199" s="59" t="b">
        <x:v>0</x:v>
      </x:c>
      <x:c r="D199" s="51" t="str">
        <x:v>Food, drinks, or smoking are not allowed in the pharmaceutical care department and all other areas where medications are stored, compounded, prepared, dispensed, and /or administered.</x:v>
      </x:c>
      <x:c r="E199" s="51" t="str"/>
      <x:c r="F199" s="51" t="n">
        <x:v>0</x:v>
      </x:c>
      <x:c r="G199" s="51" t="n">
        <x:v>0</x:v>
      </x:c>
      <x:c r="H199" s="51" t="n">
        <x:v>0</x:v>
      </x:c>
      <x:c r="I199" s="51" t="str">
        <x:v>Missing</x:v>
      </x:c>
      <x:c r="J199" s="51" t="n">
        <x:v>0</x:v>
      </x:c>
      <x:c r="K199" s="51" t="n">
        <x:v>0</x:v>
      </x:c>
      <x:c r="L199" s="51" t="n">
        <x:f>MIN(100,IF(C199,20,0)+F199*45+G199*30+H199*15+IF(I199="CriticalBlocked",30,IF(I199="Blocked",20,IF(I199="Missing",20,IF(I199="Partial",10,0))))+J199*20+K199*10)</x:f>
        <x:v>20</x:v>
      </x:c>
      <x:c r="M199" s="51" t="str">
        <x:f>IF(L199&gt;=75,"Critical",IF(L199&gt;=50,"High",IF(L199&gt;=25,"Moderate","Low")))</x:f>
        <x:v>Low</x:v>
      </x:c>
      <x:c r="N199" s="51" t="str">
        <x:v>Unreviewed</x:v>
      </x:c>
      <x:c r="O199" s="51" t="str"/>
      <x:c r="P199" s="51" t="str"/>
      <x:c r="Q199" s="49"/>
      <x:c r="R199" s="49"/>
      <x:c r="S199" s="49"/>
      <x:c r="T199" s="49"/>
      <x:c r="U199" s="49"/>
      <x:c r="V199" s="49"/>
      <x:c r="W199" s="49"/>
      <x:c r="X199" s="49"/>
      <x:c r="Y199" s="49"/>
      <x:c r="Z199" s="49"/>
    </x:row>
    <x:row r="200">
      <x:c r="A200" s="51" t="str">
        <x:v>MM.30.7</x:v>
      </x:c>
      <x:c r="B200" s="51" t="str">
        <x:v>MM.30</x:v>
      </x:c>
      <x:c r="C200" s="59" t="b">
        <x:v>0</x:v>
      </x:c>
      <x:c r="D200" s="51" t="str">
        <x:v>Laminar air flow hood certification for operational efficiency and maintenance such as checking, cleaning and/or replacing filter are performed regularly and according to the manufacturer’s specifications.</x:v>
      </x:c>
      <x:c r="E200" s="51" t="str"/>
      <x:c r="F200" s="51" t="n">
        <x:v>0</x:v>
      </x:c>
      <x:c r="G200" s="51" t="n">
        <x:v>0</x:v>
      </x:c>
      <x:c r="H200" s="51" t="n">
        <x:v>0</x:v>
      </x:c>
      <x:c r="I200" s="51" t="str">
        <x:v>Missing</x:v>
      </x:c>
      <x:c r="J200" s="51" t="n">
        <x:v>0</x:v>
      </x:c>
      <x:c r="K200" s="51" t="n">
        <x:v>0</x:v>
      </x:c>
      <x:c r="L200" s="51" t="n">
        <x:f>MIN(100,IF(C200,20,0)+F200*45+G200*30+H200*15+IF(I200="CriticalBlocked",30,IF(I200="Blocked",20,IF(I200="Missing",20,IF(I200="Partial",10,0))))+J200*20+K200*10)</x:f>
        <x:v>20</x:v>
      </x:c>
      <x:c r="M200" s="51" t="str">
        <x:f>IF(L200&gt;=75,"Critical",IF(L200&gt;=50,"High",IF(L200&gt;=25,"Moderate","Low")))</x:f>
        <x:v>Low</x:v>
      </x:c>
      <x:c r="N200" s="51" t="str">
        <x:v>Unreviewed</x:v>
      </x:c>
      <x:c r="O200" s="51" t="str"/>
      <x:c r="P200" s="51" t="str"/>
      <x:c r="Q200" s="49"/>
      <x:c r="R200" s="49"/>
      <x:c r="S200" s="49"/>
      <x:c r="T200" s="49"/>
      <x:c r="U200" s="49"/>
      <x:c r="V200" s="49"/>
      <x:c r="W200" s="49"/>
      <x:c r="X200" s="49"/>
      <x:c r="Y200" s="49"/>
      <x:c r="Z200" s="49"/>
    </x:row>
    <x:row r="201">
      <x:c r="A201" s="51" t="str">
        <x:v>MM.30.8</x:v>
      </x:c>
      <x:c r="B201" s="51" t="str">
        <x:v>MM.30</x:v>
      </x:c>
      <x:c r="C201" s="59" t="b">
        <x:v>0</x:v>
      </x:c>
      <x:c r="D201" s="51" t="str">
        <x:v>The pharmaceutical care has a schedule for proper cleaning of laminar air flow hood work surface</x:v>
      </x:c>
      <x:c r="E201" s="51" t="str"/>
      <x:c r="F201" s="51" t="n">
        <x:v>0</x:v>
      </x:c>
      <x:c r="G201" s="51" t="n">
        <x:v>0</x:v>
      </x:c>
      <x:c r="H201" s="51" t="n">
        <x:v>0</x:v>
      </x:c>
      <x:c r="I201" s="51" t="str">
        <x:v>Missing</x:v>
      </x:c>
      <x:c r="J201" s="51" t="n">
        <x:v>0</x:v>
      </x:c>
      <x:c r="K201" s="51" t="n">
        <x:v>0</x:v>
      </x:c>
      <x:c r="L201" s="51" t="n">
        <x:f>MIN(100,IF(C201,20,0)+F201*45+G201*30+H201*15+IF(I201="CriticalBlocked",30,IF(I201="Blocked",20,IF(I201="Missing",20,IF(I201="Partial",10,0))))+J201*20+K201*10)</x:f>
        <x:v>20</x:v>
      </x:c>
      <x:c r="M201" s="51" t="str">
        <x:f>IF(L201&gt;=75,"Critical",IF(L201&gt;=50,"High",IF(L201&gt;=25,"Moderate","Low")))</x:f>
        <x:v>Low</x:v>
      </x:c>
      <x:c r="N201" s="51" t="str">
        <x:v>Unreviewed</x:v>
      </x:c>
      <x:c r="O201" s="51" t="str"/>
      <x:c r="P201" s="51" t="str"/>
      <x:c r="Q201" s="49"/>
      <x:c r="R201" s="49"/>
      <x:c r="S201" s="49"/>
      <x:c r="T201" s="49"/>
      <x:c r="U201" s="49"/>
      <x:c r="V201" s="49"/>
      <x:c r="W201" s="49"/>
      <x:c r="X201" s="49"/>
      <x:c r="Y201" s="49"/>
      <x:c r="Z201" s="49"/>
    </x:row>
    <x:row r="202">
      <x:c r="A202" s="51" t="str">
        <x:v>MM.31.1</x:v>
      </x:c>
      <x:c r="B202" s="51" t="str">
        <x:v>MM.31</x:v>
      </x:c>
      <x:c r="C202" s="59" t="b">
        <x:v>0</x:v>
      </x:c>
      <x:c r="D202" s="51" t="str">
        <x:v>The hospital has a uniform system for dispensing and distribution of medications.</x:v>
      </x:c>
      <x:c r="E202" s="51" t="str"/>
      <x:c r="F202" s="51" t="n">
        <x:v>0</x:v>
      </x:c>
      <x:c r="G202" s="51" t="n">
        <x:v>0</x:v>
      </x:c>
      <x:c r="H202" s="51" t="n">
        <x:v>0</x:v>
      </x:c>
      <x:c r="I202" s="51" t="str">
        <x:v>Missing</x:v>
      </x:c>
      <x:c r="J202" s="51" t="n">
        <x:v>0</x:v>
      </x:c>
      <x:c r="K202" s="51" t="n">
        <x:v>0</x:v>
      </x:c>
      <x:c r="L202" s="51" t="n">
        <x:f>MIN(100,IF(C202,20,0)+F202*45+G202*30+H202*15+IF(I202="CriticalBlocked",30,IF(I202="Blocked",20,IF(I202="Missing",20,IF(I202="Partial",10,0))))+J202*20+K202*10)</x:f>
        <x:v>20</x:v>
      </x:c>
      <x:c r="M202" s="51" t="str">
        <x:f>IF(L202&gt;=75,"Critical",IF(L202&gt;=50,"High",IF(L202&gt;=25,"Moderate","Low")))</x:f>
        <x:v>Low</x:v>
      </x:c>
      <x:c r="N202" s="51" t="str">
        <x:v>Unreviewed</x:v>
      </x:c>
      <x:c r="O202" s="51" t="str"/>
      <x:c r="P202" s="51" t="str"/>
      <x:c r="Q202" s="49"/>
      <x:c r="R202" s="49"/>
      <x:c r="S202" s="49"/>
      <x:c r="T202" s="49"/>
      <x:c r="U202" s="49"/>
      <x:c r="V202" s="49"/>
      <x:c r="W202" s="49"/>
      <x:c r="X202" s="49"/>
      <x:c r="Y202" s="49"/>
      <x:c r="Z202" s="49"/>
    </x:row>
    <x:row r="203">
      <x:c r="A203" s="51" t="str">
        <x:v>MM.31.2</x:v>
      </x:c>
      <x:c r="B203" s="51" t="str">
        <x:v>MM.31</x:v>
      </x:c>
      <x:c r="C203" s="59" t="b">
        <x:v>0</x:v>
      </x:c>
      <x:c r="D203" s="51" t="str">
        <x:v>The hospital dispenses medications in the most ready-to- administer form possible (such as repackaged unit-doses) to minimize chance of error during distribution or administration.</x:v>
      </x:c>
      <x:c r="E203" s="51" t="str"/>
      <x:c r="F203" s="51" t="n">
        <x:v>0</x:v>
      </x:c>
      <x:c r="G203" s="51" t="n">
        <x:v>0</x:v>
      </x:c>
      <x:c r="H203" s="51" t="n">
        <x:v>0</x:v>
      </x:c>
      <x:c r="I203" s="51" t="str">
        <x:v>Missing</x:v>
      </x:c>
      <x:c r="J203" s="51" t="n">
        <x:v>0</x:v>
      </x:c>
      <x:c r="K203" s="51" t="n">
        <x:v>0</x:v>
      </x:c>
      <x:c r="L203" s="51" t="n">
        <x:f>MIN(100,IF(C203,20,0)+F203*45+G203*30+H203*15+IF(I203="CriticalBlocked",30,IF(I203="Blocked",20,IF(I203="Missing",20,IF(I203="Partial",10,0))))+J203*20+K203*10)</x:f>
        <x:v>20</x:v>
      </x:c>
      <x:c r="M203" s="51" t="str">
        <x:f>IF(L203&gt;=75,"Critical",IF(L203&gt;=50,"High",IF(L203&gt;=25,"Moderate","Low")))</x:f>
        <x:v>Low</x:v>
      </x:c>
      <x:c r="N203" s="51" t="str">
        <x:v>Unreviewed</x:v>
      </x:c>
      <x:c r="O203" s="51" t="str"/>
      <x:c r="P203" s="51" t="str"/>
      <x:c r="Q203" s="49"/>
      <x:c r="R203" s="49"/>
      <x:c r="S203" s="49"/>
      <x:c r="T203" s="49"/>
      <x:c r="U203" s="49"/>
      <x:c r="V203" s="49"/>
      <x:c r="W203" s="49"/>
      <x:c r="X203" s="49"/>
      <x:c r="Y203" s="49"/>
      <x:c r="Z203" s="49"/>
    </x:row>
    <x:row r="204">
      <x:c r="A204" s="51" t="str">
        <x:v>MM.31.3</x:v>
      </x:c>
      <x:c r="B204" s="51" t="str">
        <x:v>MM.31</x:v>
      </x:c>
      <x:c r="C204" s="59" t="b">
        <x:v>0</x:v>
      </x:c>
      <x:c r="D204" s="51" t="str">
        <x:v>The hospital dispenses quantities of medications consistent with patient needs.</x:v>
      </x:c>
      <x:c r="E204" s="51" t="str"/>
      <x:c r="F204" s="51" t="n">
        <x:v>0</x:v>
      </x:c>
      <x:c r="G204" s="51" t="n">
        <x:v>0</x:v>
      </x:c>
      <x:c r="H204" s="51" t="n">
        <x:v>0</x:v>
      </x:c>
      <x:c r="I204" s="51" t="str">
        <x:v>Missing</x:v>
      </x:c>
      <x:c r="J204" s="51" t="n">
        <x:v>0</x:v>
      </x:c>
      <x:c r="K204" s="51" t="n">
        <x:v>0</x:v>
      </x:c>
      <x:c r="L204" s="51" t="n">
        <x:f>MIN(100,IF(C204,20,0)+F204*45+G204*30+H204*15+IF(I204="CriticalBlocked",30,IF(I204="Blocked",20,IF(I204="Missing",20,IF(I204="Partial",10,0))))+J204*20+K204*10)</x:f>
        <x:v>20</x:v>
      </x:c>
      <x:c r="M204" s="51" t="str">
        <x:f>IF(L204&gt;=75,"Critical",IF(L204&gt;=50,"High",IF(L204&gt;=25,"Moderate","Low")))</x:f>
        <x:v>Low</x:v>
      </x:c>
      <x:c r="N204" s="51" t="str">
        <x:v>Unreviewed</x:v>
      </x:c>
      <x:c r="O204" s="51" t="str"/>
      <x:c r="P204" s="51" t="str"/>
      <x:c r="Q204" s="49"/>
      <x:c r="R204" s="49"/>
      <x:c r="S204" s="49"/>
      <x:c r="T204" s="49"/>
      <x:c r="U204" s="49"/>
      <x:c r="V204" s="49"/>
      <x:c r="W204" s="49"/>
      <x:c r="X204" s="49"/>
      <x:c r="Y204" s="49"/>
      <x:c r="Z204" s="49"/>
    </x:row>
    <x:row r="205">
      <x:c r="A205" s="51" t="str">
        <x:v>MM.31.4</x:v>
      </x:c>
      <x:c r="B205" s="51" t="str">
        <x:v>MM.31</x:v>
      </x:c>
      <x:c r="C205" s="59" t="b">
        <x:v>0</x:v>
      </x:c>
      <x:c r="D205" s="51" t="str">
        <x:v>The hospital dispenses no more than twenty four hours supply of medications for inpatient at a time except for bulk oral liquids and topical preparations</x:v>
      </x:c>
      <x:c r="E205" s="51" t="str"/>
      <x:c r="F205" s="51" t="n">
        <x:v>0</x:v>
      </x:c>
      <x:c r="G205" s="51" t="n">
        <x:v>0</x:v>
      </x:c>
      <x:c r="H205" s="51" t="n">
        <x:v>0</x:v>
      </x:c>
      <x:c r="I205" s="51" t="str">
        <x:v>Missing</x:v>
      </x:c>
      <x:c r="J205" s="51" t="n">
        <x:v>0</x:v>
      </x:c>
      <x:c r="K205" s="51" t="n">
        <x:v>0</x:v>
      </x:c>
      <x:c r="L205" s="51" t="n">
        <x:f>MIN(100,IF(C205,20,0)+F205*45+G205*30+H205*15+IF(I205="CriticalBlocked",30,IF(I205="Blocked",20,IF(I205="Missing",20,IF(I205="Partial",10,0))))+J205*20+K205*10)</x:f>
        <x:v>20</x:v>
      </x:c>
      <x:c r="M205" s="51" t="str">
        <x:f>IF(L205&gt;=75,"Critical",IF(L205&gt;=50,"High",IF(L205&gt;=25,"Moderate","Low")))</x:f>
        <x:v>Low</x:v>
      </x:c>
      <x:c r="N205" s="51" t="str">
        <x:v>Unreviewed</x:v>
      </x:c>
      <x:c r="O205" s="51" t="str"/>
      <x:c r="P205" s="51" t="str"/>
      <x:c r="Q205" s="49"/>
      <x:c r="R205" s="49"/>
      <x:c r="S205" s="49"/>
      <x:c r="T205" s="49"/>
      <x:c r="U205" s="49"/>
      <x:c r="V205" s="49"/>
      <x:c r="W205" s="49"/>
      <x:c r="X205" s="49"/>
      <x:c r="Y205" s="49"/>
      <x:c r="Z205" s="49"/>
    </x:row>
    <x:row r="206">
      <x:c r="A206" s="51" t="str">
        <x:v>MM.31.5</x:v>
      </x:c>
      <x:c r="B206" s="51" t="str">
        <x:v>MM.31</x:v>
      </x:c>
      <x:c r="C206" s="59" t="b">
        <x:v>0</x:v>
      </x:c>
      <x:c r="D206" s="51" t="str">
        <x:v>The hospital dispenses medications with time frames defined by the hospital (such as STAT, now, routine).</x:v>
      </x:c>
      <x:c r="E206" s="51" t="str"/>
      <x:c r="F206" s="51" t="n">
        <x:v>0</x:v>
      </x:c>
      <x:c r="G206" s="51" t="n">
        <x:v>0</x:v>
      </x:c>
      <x:c r="H206" s="51" t="n">
        <x:v>0</x:v>
      </x:c>
      <x:c r="I206" s="51" t="str">
        <x:v>Missing</x:v>
      </x:c>
      <x:c r="J206" s="51" t="n">
        <x:v>0</x:v>
      </x:c>
      <x:c r="K206" s="51" t="n">
        <x:v>0</x:v>
      </x:c>
      <x:c r="L206" s="51" t="n">
        <x:f>MIN(100,IF(C206,20,0)+F206*45+G206*30+H206*15+IF(I206="CriticalBlocked",30,IF(I206="Blocked",20,IF(I206="Missing",20,IF(I206="Partial",10,0))))+J206*20+K206*10)</x:f>
        <x:v>20</x:v>
      </x:c>
      <x:c r="M206" s="51" t="str">
        <x:f>IF(L206&gt;=75,"Critical",IF(L206&gt;=50,"High",IF(L206&gt;=25,"Moderate","Low")))</x:f>
        <x:v>Low</x:v>
      </x:c>
      <x:c r="N206" s="51" t="str">
        <x:v>Unreviewed</x:v>
      </x:c>
      <x:c r="O206" s="51" t="str"/>
      <x:c r="P206" s="51" t="str"/>
      <x:c r="Q206" s="49"/>
      <x:c r="R206" s="49"/>
      <x:c r="S206" s="49"/>
      <x:c r="T206" s="49"/>
      <x:c r="U206" s="49"/>
      <x:c r="V206" s="49"/>
      <x:c r="W206" s="49"/>
      <x:c r="X206" s="49"/>
      <x:c r="Y206" s="49"/>
      <x:c r="Z206" s="49"/>
    </x:row>
    <x:row r="207">
      <x:c r="A207" s="51" t="str">
        <x:v>MM.31.6</x:v>
      </x:c>
      <x:c r="B207" s="51" t="str">
        <x:v>MM.31</x:v>
      </x:c>
      <x:c r="C207" s="59" t="b">
        <x:v>0</x:v>
      </x:c>
      <x:c r="D207" s="51" t="str">
        <x:v>The hospital maintains records for all dispensed medications.</x:v>
      </x:c>
      <x:c r="E207" s="51" t="str"/>
      <x:c r="F207" s="51" t="n">
        <x:v>0</x:v>
      </x:c>
      <x:c r="G207" s="51" t="n">
        <x:v>0</x:v>
      </x:c>
      <x:c r="H207" s="51" t="n">
        <x:v>0</x:v>
      </x:c>
      <x:c r="I207" s="51" t="str">
        <x:v>Missing</x:v>
      </x:c>
      <x:c r="J207" s="51" t="n">
        <x:v>0</x:v>
      </x:c>
      <x:c r="K207" s="51" t="n">
        <x:v>0</x:v>
      </x:c>
      <x:c r="L207" s="51" t="n">
        <x:f>MIN(100,IF(C207,20,0)+F207*45+G207*30+H207*15+IF(I207="CriticalBlocked",30,IF(I207="Blocked",20,IF(I207="Missing",20,IF(I207="Partial",10,0))))+J207*20+K207*10)</x:f>
        <x:v>20</x:v>
      </x:c>
      <x:c r="M207" s="51" t="str">
        <x:f>IF(L207&gt;=75,"Critical",IF(L207&gt;=50,"High",IF(L207&gt;=25,"Moderate","Low")))</x:f>
        <x:v>Low</x:v>
      </x:c>
      <x:c r="N207" s="51" t="str">
        <x:v>Unreviewed</x:v>
      </x:c>
      <x:c r="O207" s="51" t="str"/>
      <x:c r="P207" s="51" t="str"/>
      <x:c r="Q207" s="49"/>
      <x:c r="R207" s="49"/>
      <x:c r="S207" s="49"/>
      <x:c r="T207" s="49"/>
      <x:c r="U207" s="49"/>
      <x:c r="V207" s="49"/>
      <x:c r="W207" s="49"/>
      <x:c r="X207" s="49"/>
      <x:c r="Y207" s="49"/>
      <x:c r="Z207" s="49"/>
    </x:row>
    <x:row r="208">
      <x:c r="A208" s="51" t="str">
        <x:v>MM.31.7</x:v>
      </x:c>
      <x:c r="B208" s="51" t="str">
        <x:v>MM.31</x:v>
      </x:c>
      <x:c r="C208" s="59" t="b">
        <x:v>0</x:v>
      </x:c>
      <x:c r="D208" s="51" t="str">
        <x:v>There is implementation of the independent double check during preparation and before dispensing of all high-alert medications.</x:v>
      </x:c>
      <x:c r="E208" s="51" t="str"/>
      <x:c r="F208" s="51" t="n">
        <x:v>0</x:v>
      </x:c>
      <x:c r="G208" s="51" t="n">
        <x:v>0</x:v>
      </x:c>
      <x:c r="H208" s="51" t="n">
        <x:v>0</x:v>
      </x:c>
      <x:c r="I208" s="51" t="str">
        <x:v>Missing</x:v>
      </x:c>
      <x:c r="J208" s="51" t="n">
        <x:v>0</x:v>
      </x:c>
      <x:c r="K208" s="51" t="n">
        <x:v>0</x:v>
      </x:c>
      <x:c r="L208" s="51" t="n">
        <x:f>MIN(100,IF(C208,20,0)+F208*45+G208*30+H208*15+IF(I208="CriticalBlocked",30,IF(I208="Blocked",20,IF(I208="Missing",20,IF(I208="Partial",10,0))))+J208*20+K208*10)</x:f>
        <x:v>20</x:v>
      </x:c>
      <x:c r="M208" s="51" t="str">
        <x:f>IF(L208&gt;=75,"Critical",IF(L208&gt;=50,"High",IF(L208&gt;=25,"Moderate","Low")))</x:f>
        <x:v>Low</x:v>
      </x:c>
      <x:c r="N208" s="51" t="str">
        <x:v>Unreviewed</x:v>
      </x:c>
      <x:c r="O208" s="51" t="str"/>
      <x:c r="P208" s="51" t="str"/>
      <x:c r="Q208" s="49"/>
      <x:c r="R208" s="49"/>
      <x:c r="S208" s="49"/>
      <x:c r="T208" s="49"/>
      <x:c r="U208" s="49"/>
      <x:c r="V208" s="49"/>
      <x:c r="W208" s="49"/>
      <x:c r="X208" s="49"/>
      <x:c r="Y208" s="49"/>
      <x:c r="Z208" s="49"/>
    </x:row>
    <x:row r="209">
      <x:c r="A209" s="51" t="str">
        <x:v>MM.32.1</x:v>
      </x:c>
      <x:c r="B209" s="51" t="str">
        <x:v>MM.32</x:v>
      </x:c>
      <x:c r="C209" s="59" t="b">
        <x:v>0</x:v>
      </x:c>
      <x:c r="D209" s="51" t="str">
        <x:v>Medications prepared but not intended for immediate administration are labeled. This includes all injectable medications drawn into syringes or mixed with intravenous fluids for use inside the operating rooms or procedure areas.</x:v>
      </x:c>
      <x:c r="E209" s="51" t="str"/>
      <x:c r="F209" s="51" t="n">
        <x:v>0</x:v>
      </x:c>
      <x:c r="G209" s="51" t="n">
        <x:v>0</x:v>
      </x:c>
      <x:c r="H209" s="51" t="n">
        <x:v>0</x:v>
      </x:c>
      <x:c r="I209" s="51" t="str">
        <x:v>Missing</x:v>
      </x:c>
      <x:c r="J209" s="51" t="n">
        <x:v>0</x:v>
      </x:c>
      <x:c r="K209" s="51" t="n">
        <x:v>0</x:v>
      </x:c>
      <x:c r="L209" s="51" t="n">
        <x:f>MIN(100,IF(C209,20,0)+F209*45+G209*30+H209*15+IF(I209="CriticalBlocked",30,IF(I209="Blocked",20,IF(I209="Missing",20,IF(I209="Partial",10,0))))+J209*20+K209*10)</x:f>
        <x:v>20</x:v>
      </x:c>
      <x:c r="M209" s="51" t="str">
        <x:f>IF(L209&gt;=75,"Critical",IF(L209&gt;=50,"High",IF(L209&gt;=25,"Moderate","Low")))</x:f>
        <x:v>Low</x:v>
      </x:c>
      <x:c r="N209" s="51" t="str">
        <x:v>Unreviewed</x:v>
      </x:c>
      <x:c r="O209" s="51" t="str"/>
      <x:c r="P209" s="51" t="str"/>
      <x:c r="Q209" s="49"/>
      <x:c r="R209" s="49"/>
      <x:c r="S209" s="49"/>
      <x:c r="T209" s="49"/>
      <x:c r="U209" s="49"/>
      <x:c r="V209" s="49"/>
      <x:c r="W209" s="49"/>
      <x:c r="X209" s="49"/>
      <x:c r="Y209" s="49"/>
      <x:c r="Z209" s="49"/>
    </x:row>
    <x:row r="210">
      <x:c r="A210" s="51" t="str">
        <x:v>MM.32.2</x:v>
      </x:c>
      <x:c r="B210" s="51" t="str">
        <x:v>MM.32</x:v>
      </x:c>
      <x:c r="C210" s="59" t="b">
        <x:v>0</x:v>
      </x:c>
      <x:c r="D210" s="51" t="str">
        <x:v>Multiple medications for a single patient, such as those in the operating room or emergency room, must be labeled for drug name and dose/concentration.</x:v>
      </x:c>
      <x:c r="E210" s="51" t="str"/>
      <x:c r="F210" s="51" t="n">
        <x:v>0</x:v>
      </x:c>
      <x:c r="G210" s="51" t="n">
        <x:v>0</x:v>
      </x:c>
      <x:c r="H210" s="51" t="n">
        <x:v>0</x:v>
      </x:c>
      <x:c r="I210" s="51" t="str">
        <x:v>Missing</x:v>
      </x:c>
      <x:c r="J210" s="51" t="n">
        <x:v>0</x:v>
      </x:c>
      <x:c r="K210" s="51" t="n">
        <x:v>0</x:v>
      </x:c>
      <x:c r="L210" s="51" t="n">
        <x:f>MIN(100,IF(C210,20,0)+F210*45+G210*30+H210*15+IF(I210="CriticalBlocked",30,IF(I210="Blocked",20,IF(I210="Missing",20,IF(I210="Partial",10,0))))+J210*20+K210*10)</x:f>
        <x:v>20</x:v>
      </x:c>
      <x:c r="M210" s="51" t="str">
        <x:f>IF(L210&gt;=75,"Critical",IF(L210&gt;=50,"High",IF(L210&gt;=25,"Moderate","Low")))</x:f>
        <x:v>Low</x:v>
      </x:c>
      <x:c r="N210" s="51" t="str">
        <x:v>Unreviewed</x:v>
      </x:c>
      <x:c r="O210" s="51" t="str"/>
      <x:c r="P210" s="51" t="str"/>
      <x:c r="Q210" s="49"/>
      <x:c r="R210" s="49"/>
      <x:c r="S210" s="49"/>
      <x:c r="T210" s="49"/>
      <x:c r="U210" s="49"/>
      <x:c r="V210" s="49"/>
      <x:c r="W210" s="49"/>
      <x:c r="X210" s="49"/>
      <x:c r="Y210" s="49"/>
      <x:c r="Z210" s="49"/>
    </x:row>
    <x:row r="211">
      <x:c r="A211" s="51" t="str">
        <x:v>MM.32.3</x:v>
      </x:c>
      <x:c r="B211" s="51" t="str">
        <x:v>MM.32</x:v>
      </x:c>
      <x:c r="C211" s="59" t="b">
        <x:v>0</x:v>
      </x:c>
      <x:c r="D211" s="51" t="str">
        <x:v>All individualized medications prepared for multiple patients are labeled with all necessary information in a standardized format.</x:v>
      </x:c>
      <x:c r="E211" s="51" t="str"/>
      <x:c r="F211" s="51" t="n">
        <x:v>0</x:v>
      </x:c>
      <x:c r="G211" s="51" t="n">
        <x:v>0</x:v>
      </x:c>
      <x:c r="H211" s="51" t="n">
        <x:v>0</x:v>
      </x:c>
      <x:c r="I211" s="51" t="str">
        <x:v>Missing</x:v>
      </x:c>
      <x:c r="J211" s="51" t="n">
        <x:v>0</x:v>
      </x:c>
      <x:c r="K211" s="51" t="n">
        <x:v>0</x:v>
      </x:c>
      <x:c r="L211" s="51" t="n">
        <x:f>MIN(100,IF(C211,20,0)+F211*45+G211*30+H211*15+IF(I211="CriticalBlocked",30,IF(I211="Blocked",20,IF(I211="Missing",20,IF(I211="Partial",10,0))))+J211*20+K211*10)</x:f>
        <x:v>20</x:v>
      </x:c>
      <x:c r="M211" s="51" t="str">
        <x:f>IF(L211&gt;=75,"Critical",IF(L211&gt;=50,"High",IF(L211&gt;=25,"Moderate","Low")))</x:f>
        <x:v>Low</x:v>
      </x:c>
      <x:c r="N211" s="51" t="str">
        <x:v>Unreviewed</x:v>
      </x:c>
      <x:c r="O211" s="51" t="str"/>
      <x:c r="P211" s="51" t="str"/>
      <x:c r="Q211" s="49"/>
      <x:c r="R211" s="49"/>
      <x:c r="S211" s="49"/>
      <x:c r="T211" s="49"/>
      <x:c r="U211" s="49"/>
      <x:c r="V211" s="49"/>
      <x:c r="W211" s="49"/>
      <x:c r="X211" s="49"/>
      <x:c r="Y211" s="49"/>
      <x:c r="Z211" s="49"/>
    </x:row>
    <x:row r="212">
      <x:c r="A212" s="51" t="str">
        <x:v>MM.32.4</x:v>
      </x:c>
      <x:c r="B212" s="51" t="str">
        <x:v>MM.32</x:v>
      </x:c>
      <x:c r="C212" s="59" t="b">
        <x:v>0</x:v>
      </x:c>
      <x:c r="D212" s="51" t="str">
        <x:v>All individualized medications prepared for multiple patients are labeled with: MM.32.4.1 Patient name and medical record number. MM.32.4.2 Patient location (ward, unit, room, bed number). MM.32.4.3 Medication name, dosage form, strength, and amount. MM.32.4.4 Directions for use. MM.32.4.5 Relevant cautionary instructions (e.g., refrigerate, shake before use, may cause drowsiness). MM.32.4.6 Date of preparation, beyond use date, and time (when beyond use date occurs in less than twenty four hours).</x:v>
      </x:c>
      <x:c r="E212" s="51" t="str"/>
      <x:c r="F212" s="51" t="n">
        <x:v>0</x:v>
      </x:c>
      <x:c r="G212" s="51" t="n">
        <x:v>0</x:v>
      </x:c>
      <x:c r="H212" s="51" t="n">
        <x:v>0</x:v>
      </x:c>
      <x:c r="I212" s="51" t="str">
        <x:v>Missing</x:v>
      </x:c>
      <x:c r="J212" s="51" t="n">
        <x:v>0</x:v>
      </x:c>
      <x:c r="K212" s="51" t="n">
        <x:v>0</x:v>
      </x:c>
      <x:c r="L212" s="51" t="n">
        <x:f>MIN(100,IF(C212,20,0)+F212*45+G212*30+H212*15+IF(I212="CriticalBlocked",30,IF(I212="Blocked",20,IF(I212="Missing",20,IF(I212="Partial",10,0))))+J212*20+K212*10)</x:f>
        <x:v>20</x:v>
      </x:c>
      <x:c r="M212" s="51" t="str">
        <x:f>IF(L212&gt;=75,"Critical",IF(L212&gt;=50,"High",IF(L212&gt;=25,"Moderate","Low")))</x:f>
        <x:v>Low</x:v>
      </x:c>
      <x:c r="N212" s="51" t="str">
        <x:v>Unreviewed</x:v>
      </x:c>
      <x:c r="O212" s="51" t="str"/>
      <x:c r="P212" s="51" t="str"/>
      <x:c r="Q212" s="49"/>
      <x:c r="R212" s="49"/>
      <x:c r="S212" s="49"/>
      <x:c r="T212" s="49"/>
      <x:c r="U212" s="49"/>
      <x:c r="V212" s="49"/>
      <x:c r="W212" s="49"/>
      <x:c r="X212" s="49"/>
      <x:c r="Y212" s="49"/>
      <x:c r="Z212" s="49"/>
    </x:row>
    <x:row r="213">
      <x:c r="A213" s="51" t="str">
        <x:v>MM.32.5</x:v>
      </x:c>
      <x:c r="B213" s="51" t="str">
        <x:v>MM.32</x:v>
      </x:c>
      <x:c r="C213" s="59" t="b">
        <x:v>0</x:v>
      </x:c>
      <x:c r="D213" s="51" t="str">
        <x:v>All compounded intravenous admixture preparations are labeled with diluent name concentration, and its volume</x:v>
      </x:c>
      <x:c r="E213" s="51" t="str"/>
      <x:c r="F213" s="51" t="n">
        <x:v>0</x:v>
      </x:c>
      <x:c r="G213" s="51" t="n">
        <x:v>0</x:v>
      </x:c>
      <x:c r="H213" s="51" t="n">
        <x:v>0</x:v>
      </x:c>
      <x:c r="I213" s="51" t="str">
        <x:v>Missing</x:v>
      </x:c>
      <x:c r="J213" s="51" t="n">
        <x:v>0</x:v>
      </x:c>
      <x:c r="K213" s="51" t="n">
        <x:v>0</x:v>
      </x:c>
      <x:c r="L213" s="51" t="n">
        <x:f>MIN(100,IF(C213,20,0)+F213*45+G213*30+H213*15+IF(I213="CriticalBlocked",30,IF(I213="Blocked",20,IF(I213="Missing",20,IF(I213="Partial",10,0))))+J213*20+K213*10)</x:f>
        <x:v>20</x:v>
      </x:c>
      <x:c r="M213" s="51" t="str">
        <x:f>IF(L213&gt;=75,"Critical",IF(L213&gt;=50,"High",IF(L213&gt;=25,"Moderate","Low")))</x:f>
        <x:v>Low</x:v>
      </x:c>
      <x:c r="N213" s="51" t="str">
        <x:v>Unreviewed</x:v>
      </x:c>
      <x:c r="O213" s="51" t="str"/>
      <x:c r="P213" s="51" t="str"/>
      <x:c r="Q213" s="49"/>
      <x:c r="R213" s="49"/>
      <x:c r="S213" s="49"/>
      <x:c r="T213" s="49"/>
      <x:c r="U213" s="49"/>
      <x:c r="V213" s="49"/>
      <x:c r="W213" s="49"/>
      <x:c r="X213" s="49"/>
      <x:c r="Y213" s="49"/>
      <x:c r="Z213" s="49"/>
    </x:row>
    <x:row r="214">
      <x:c r="A214" s="51" t="str">
        <x:v>MM.32.6</x:v>
      </x:c>
      <x:c r="B214" s="51" t="str">
        <x:v>MM.32</x:v>
      </x:c>
      <x:c r="C214" s="59" t="b">
        <x:v>0</x:v>
      </x:c>
      <x:c r="D214" s="51" t="str">
        <x:v>All compounded parenteral nutrition solutions are labeled with individual components quantities, and total volume.</x:v>
      </x:c>
      <x:c r="E214" s="51" t="str"/>
      <x:c r="F214" s="51" t="n">
        <x:v>0</x:v>
      </x:c>
      <x:c r="G214" s="51" t="n">
        <x:v>0</x:v>
      </x:c>
      <x:c r="H214" s="51" t="n">
        <x:v>0</x:v>
      </x:c>
      <x:c r="I214" s="51" t="str">
        <x:v>Missing</x:v>
      </x:c>
      <x:c r="J214" s="51" t="n">
        <x:v>0</x:v>
      </x:c>
      <x:c r="K214" s="51" t="n">
        <x:v>0</x:v>
      </x:c>
      <x:c r="L214" s="51" t="n">
        <x:f>MIN(100,IF(C214,20,0)+F214*45+G214*30+H214*15+IF(I214="CriticalBlocked",30,IF(I214="Blocked",20,IF(I214="Missing",20,IF(I214="Partial",10,0))))+J214*20+K214*10)</x:f>
        <x:v>20</x:v>
      </x:c>
      <x:c r="M214" s="51" t="str">
        <x:f>IF(L214&gt;=75,"Critical",IF(L214&gt;=50,"High",IF(L214&gt;=25,"Moderate","Low")))</x:f>
        <x:v>Low</x:v>
      </x:c>
      <x:c r="N214" s="51" t="str">
        <x:v>Unreviewed</x:v>
      </x:c>
      <x:c r="O214" s="51" t="str"/>
      <x:c r="P214" s="51" t="str"/>
      <x:c r="Q214" s="49"/>
      <x:c r="R214" s="49"/>
      <x:c r="S214" s="49"/>
      <x:c r="T214" s="49"/>
      <x:c r="U214" s="49"/>
      <x:c r="V214" s="49"/>
      <x:c r="W214" s="49"/>
      <x:c r="X214" s="49"/>
      <x:c r="Y214" s="49"/>
      <x:c r="Z214" s="49"/>
    </x:row>
    <x:row r="215">
      <x:c r="A215" s="51" t="str">
        <x:v>MM.32.7</x:v>
      </x:c>
      <x:c r="B215" s="51" t="str">
        <x:v>MM.32</x:v>
      </x:c>
      <x:c r="C215" s="59" t="b">
        <x:v>0</x:v>
      </x:c>
      <x:c r="D215" s="51" t="str">
        <x:v>All outpatient medications are labeled with patient name, medical record number, medication name, dosage form, strength, direction and duration for use, and cautions in a language and form the patient can understand.</x:v>
      </x:c>
      <x:c r="E215" s="51" t="str"/>
      <x:c r="F215" s="51" t="n">
        <x:v>0</x:v>
      </x:c>
      <x:c r="G215" s="51" t="n">
        <x:v>0</x:v>
      </x:c>
      <x:c r="H215" s="51" t="n">
        <x:v>0</x:v>
      </x:c>
      <x:c r="I215" s="51" t="str">
        <x:v>Missing</x:v>
      </x:c>
      <x:c r="J215" s="51" t="n">
        <x:v>0</x:v>
      </x:c>
      <x:c r="K215" s="51" t="n">
        <x:v>0</x:v>
      </x:c>
      <x:c r="L215" s="51" t="n">
        <x:f>MIN(100,IF(C215,20,0)+F215*45+G215*30+H215*15+IF(I215="CriticalBlocked",30,IF(I215="Blocked",20,IF(I215="Missing",20,IF(I215="Partial",10,0))))+J215*20+K215*10)</x:f>
        <x:v>20</x:v>
      </x:c>
      <x:c r="M215" s="51" t="str">
        <x:f>IF(L215&gt;=75,"Critical",IF(L215&gt;=50,"High",IF(L215&gt;=25,"Moderate","Low")))</x:f>
        <x:v>Low</x:v>
      </x:c>
      <x:c r="N215" s="51" t="str">
        <x:v>Unreviewed</x:v>
      </x:c>
      <x:c r="O215" s="51" t="str"/>
      <x:c r="P215" s="51" t="str"/>
      <x:c r="Q215" s="49"/>
      <x:c r="R215" s="49"/>
      <x:c r="S215" s="49"/>
      <x:c r="T215" s="49"/>
      <x:c r="U215" s="49"/>
      <x:c r="V215" s="49"/>
      <x:c r="W215" s="49"/>
      <x:c r="X215" s="49"/>
      <x:c r="Y215" s="49"/>
      <x:c r="Z215" s="49"/>
    </x:row>
    <x:row r="216">
      <x:c r="A216" s="51" t="str">
        <x:v>MM.33.1</x:v>
      </x:c>
      <x:c r="B216" s="51" t="str">
        <x:v>MM.33</x:v>
      </x:c>
      <x:c r="C216" s="59" t="b">
        <x:v>0</x:v>
      </x:c>
      <x:c r="D216" s="51" t="str">
        <x:v>There is a multidisciplinary policy and procedure on obtaining medications when the pharmacy is closed.</x:v>
      </x:c>
      <x:c r="E216" s="51" t="str"/>
      <x:c r="F216" s="51" t="n">
        <x:v>0</x:v>
      </x:c>
      <x:c r="G216" s="51" t="n">
        <x:v>0</x:v>
      </x:c>
      <x:c r="H216" s="51" t="n">
        <x:v>0</x:v>
      </x:c>
      <x:c r="I216" s="51" t="str">
        <x:v>Missing</x:v>
      </x:c>
      <x:c r="J216" s="51" t="n">
        <x:v>0</x:v>
      </x:c>
      <x:c r="K216" s="51" t="n">
        <x:v>0</x:v>
      </x:c>
      <x:c r="L216" s="51" t="n">
        <x:f>MIN(100,IF(C216,20,0)+F216*45+G216*30+H216*15+IF(I216="CriticalBlocked",30,IF(I216="Blocked",20,IF(I216="Missing",20,IF(I216="Partial",10,0))))+J216*20+K216*10)</x:f>
        <x:v>20</x:v>
      </x:c>
      <x:c r="M216" s="51" t="str">
        <x:f>IF(L216&gt;=75,"Critical",IF(L216&gt;=50,"High",IF(L216&gt;=25,"Moderate","Low")))</x:f>
        <x:v>Low</x:v>
      </x:c>
      <x:c r="N216" s="51" t="str">
        <x:v>Unreviewed</x:v>
      </x:c>
      <x:c r="O216" s="51" t="str"/>
      <x:c r="P216" s="51" t="str"/>
      <x:c r="Q216" s="49"/>
      <x:c r="R216" s="49"/>
      <x:c r="S216" s="49"/>
      <x:c r="T216" s="49"/>
      <x:c r="U216" s="49"/>
      <x:c r="V216" s="49"/>
      <x:c r="W216" s="49"/>
      <x:c r="X216" s="49"/>
      <x:c r="Y216" s="49"/>
      <x:c r="Z216" s="49"/>
    </x:row>
    <x:row r="217">
      <x:c r="A217" s="51" t="str">
        <x:v>MM.33.2</x:v>
      </x:c>
      <x:c r="B217" s="51" t="str">
        <x:v>MM.33</x:v>
      </x:c>
      <x:c r="C217" s="59" t="b">
        <x:v>0</x:v>
      </x:c>
      <x:c r="D217" s="51" t="str">
        <x:v>The hospital permits only trained registered nurses and those authorized to prescribe medications to access pharmacy after working hours.</x:v>
      </x:c>
      <x:c r="E217" s="51" t="str"/>
      <x:c r="F217" s="51" t="n">
        <x:v>0</x:v>
      </x:c>
      <x:c r="G217" s="51" t="n">
        <x:v>0</x:v>
      </x:c>
      <x:c r="H217" s="51" t="n">
        <x:v>0</x:v>
      </x:c>
      <x:c r="I217" s="51" t="str">
        <x:v>Missing</x:v>
      </x:c>
      <x:c r="J217" s="51" t="n">
        <x:v>0</x:v>
      </x:c>
      <x:c r="K217" s="51" t="n">
        <x:v>0</x:v>
      </x:c>
      <x:c r="L217" s="51" t="n">
        <x:f>MIN(100,IF(C217,20,0)+F217*45+G217*30+H217*15+IF(I217="CriticalBlocked",30,IF(I217="Blocked",20,IF(I217="Missing",20,IF(I217="Partial",10,0))))+J217*20+K217*10)</x:f>
        <x:v>20</x:v>
      </x:c>
      <x:c r="M217" s="51" t="str">
        <x:f>IF(L217&gt;=75,"Critical",IF(L217&gt;=50,"High",IF(L217&gt;=25,"Moderate","Low")))</x:f>
        <x:v>Low</x:v>
      </x:c>
      <x:c r="N217" s="51" t="str">
        <x:v>Unreviewed</x:v>
      </x:c>
      <x:c r="O217" s="51" t="str"/>
      <x:c r="P217" s="51" t="str"/>
      <x:c r="Q217" s="49"/>
      <x:c r="R217" s="49"/>
      <x:c r="S217" s="49"/>
      <x:c r="T217" s="49"/>
      <x:c r="U217" s="49"/>
      <x:c r="V217" s="49"/>
      <x:c r="W217" s="49"/>
      <x:c r="X217" s="49"/>
      <x:c r="Y217" s="49"/>
      <x:c r="Z217" s="49"/>
    </x:row>
    <x:row r="218">
      <x:c r="A218" s="51" t="str">
        <x:v>MM.33.3</x:v>
      </x:c>
      <x:c r="B218" s="51" t="str">
        <x:v>MM.33</x:v>
      </x:c>
      <x:c r="C218" s="59" t="b">
        <x:v>0</x:v>
      </x:c>
      <x:c r="D218" s="51" t="str">
        <x:v>The hospital has a limited list of approved medications to be accessible to nonpharmaceutical care staff when the pharmacy is closed.</x:v>
      </x:c>
      <x:c r="E218" s="51" t="str"/>
      <x:c r="F218" s="51" t="n">
        <x:v>0</x:v>
      </x:c>
      <x:c r="G218" s="51" t="n">
        <x:v>0</x:v>
      </x:c>
      <x:c r="H218" s="51" t="n">
        <x:v>0</x:v>
      </x:c>
      <x:c r="I218" s="51" t="str">
        <x:v>Missing</x:v>
      </x:c>
      <x:c r="J218" s="51" t="n">
        <x:v>0</x:v>
      </x:c>
      <x:c r="K218" s="51" t="n">
        <x:v>0</x:v>
      </x:c>
      <x:c r="L218" s="51" t="n">
        <x:f>MIN(100,IF(C218,20,0)+F218*45+G218*30+H218*15+IF(I218="CriticalBlocked",30,IF(I218="Blocked",20,IF(I218="Missing",20,IF(I218="Partial",10,0))))+J218*20+K218*10)</x:f>
        <x:v>20</x:v>
      </x:c>
      <x:c r="M218" s="51" t="str">
        <x:f>IF(L218&gt;=75,"Critical",IF(L218&gt;=50,"High",IF(L218&gt;=25,"Moderate","Low")))</x:f>
        <x:v>Low</x:v>
      </x:c>
      <x:c r="N218" s="51" t="str">
        <x:v>Unreviewed</x:v>
      </x:c>
      <x:c r="O218" s="51" t="str"/>
      <x:c r="P218" s="51" t="str"/>
      <x:c r="Q218" s="49"/>
      <x:c r="R218" s="49"/>
      <x:c r="S218" s="49"/>
      <x:c r="T218" s="49"/>
      <x:c r="U218" s="49"/>
      <x:c r="V218" s="49"/>
      <x:c r="W218" s="49"/>
      <x:c r="X218" s="49"/>
      <x:c r="Y218" s="49"/>
      <x:c r="Z218" s="49"/>
    </x:row>
    <x:row r="219">
      <x:c r="A219" s="51" t="str">
        <x:v>MM.33.4</x:v>
      </x:c>
      <x:c r="B219" s="51" t="str">
        <x:v>MM.33</x:v>
      </x:c>
      <x:c r="C219" s="59" t="b">
        <x:v>0</x:v>
      </x:c>
      <x:c r="D219" s="51" t="str">
        <x:v>A qualified on-call pharmacist is available to answer questions and provide medications other than those accessible to non-pharmacists</x:v>
      </x:c>
      <x:c r="E219" s="51" t="str"/>
      <x:c r="F219" s="51" t="n">
        <x:v>0</x:v>
      </x:c>
      <x:c r="G219" s="51" t="n">
        <x:v>0</x:v>
      </x:c>
      <x:c r="H219" s="51" t="n">
        <x:v>0</x:v>
      </x:c>
      <x:c r="I219" s="51" t="str">
        <x:v>Missing</x:v>
      </x:c>
      <x:c r="J219" s="51" t="n">
        <x:v>0</x:v>
      </x:c>
      <x:c r="K219" s="51" t="n">
        <x:v>0</x:v>
      </x:c>
      <x:c r="L219" s="51" t="n">
        <x:f>MIN(100,IF(C219,20,0)+F219*45+G219*30+H219*15+IF(I219="CriticalBlocked",30,IF(I219="Blocked",20,IF(I219="Missing",20,IF(I219="Partial",10,0))))+J219*20+K219*10)</x:f>
        <x:v>20</x:v>
      </x:c>
      <x:c r="M219" s="51" t="str">
        <x:f>IF(L219&gt;=75,"Critical",IF(L219&gt;=50,"High",IF(L219&gt;=25,"Moderate","Low")))</x:f>
        <x:v>Low</x:v>
      </x:c>
      <x:c r="N219" s="51" t="str">
        <x:v>Unreviewed</x:v>
      </x:c>
      <x:c r="O219" s="51" t="str"/>
      <x:c r="P219" s="51" t="str"/>
      <x:c r="Q219" s="49"/>
      <x:c r="R219" s="49"/>
      <x:c r="S219" s="49"/>
      <x:c r="T219" s="49"/>
      <x:c r="U219" s="49"/>
      <x:c r="V219" s="49"/>
      <x:c r="W219" s="49"/>
      <x:c r="X219" s="49"/>
      <x:c r="Y219" s="49"/>
      <x:c r="Z219" s="49"/>
    </x:row>
    <x:row r="220">
      <x:c r="A220" s="51" t="str">
        <x:v>MM.34.1</x:v>
      </x:c>
      <x:c r="B220" s="51" t="str">
        <x:v>MM.34</x:v>
      </x:c>
      <x:c r="C220" s="59" t="b">
        <x:v>0</x:v>
      </x:c>
      <x:c r="D220" s="51" t="str">
        <x:v>There is a multidisciplinary policy and procedure on retrieval and handling of recalled, discontinued, and damaged medications within specified time frame for patient safety.</x:v>
      </x:c>
      <x:c r="E220" s="51" t="str"/>
      <x:c r="F220" s="51" t="n">
        <x:v>0</x:v>
      </x:c>
      <x:c r="G220" s="51" t="n">
        <x:v>0</x:v>
      </x:c>
      <x:c r="H220" s="51" t="n">
        <x:v>0</x:v>
      </x:c>
      <x:c r="I220" s="51" t="str">
        <x:v>Missing</x:v>
      </x:c>
      <x:c r="J220" s="51" t="n">
        <x:v>0</x:v>
      </x:c>
      <x:c r="K220" s="51" t="n">
        <x:v>0</x:v>
      </x:c>
      <x:c r="L220" s="51" t="n">
        <x:f>MIN(100,IF(C220,20,0)+F220*45+G220*30+H220*15+IF(I220="CriticalBlocked",30,IF(I220="Blocked",20,IF(I220="Missing",20,IF(I220="Partial",10,0))))+J220*20+K220*10)</x:f>
        <x:v>20</x:v>
      </x:c>
      <x:c r="M220" s="51" t="str">
        <x:f>IF(L220&gt;=75,"Critical",IF(L220&gt;=50,"High",IF(L220&gt;=25,"Moderate","Low")))</x:f>
        <x:v>Low</x:v>
      </x:c>
      <x:c r="N220" s="51" t="str">
        <x:v>Unreviewed</x:v>
      </x:c>
      <x:c r="O220" s="51" t="str"/>
      <x:c r="P220" s="51" t="str"/>
      <x:c r="Q220" s="49"/>
      <x:c r="R220" s="49"/>
      <x:c r="S220" s="49"/>
      <x:c r="T220" s="49"/>
      <x:c r="U220" s="49"/>
      <x:c r="V220" s="49"/>
      <x:c r="W220" s="49"/>
      <x:c r="X220" s="49"/>
      <x:c r="Y220" s="49"/>
      <x:c r="Z220" s="49"/>
    </x:row>
    <x:row r="221">
      <x:c r="A221" s="51" t="str">
        <x:v>MM.34.2</x:v>
      </x:c>
      <x:c r="B221" s="51" t="str">
        <x:v>MM.34</x:v>
      </x:c>
      <x:c r="C221" s="59" t="b">
        <x:v>0</x:v>
      </x:c>
      <x:c r="D221" s="51" t="str">
        <x:v>The hospital recognizes and maintains on file all drug recall memorandums from the Saudi Food and Drug Administration, manufacturer, and/ or other relevant legal bodies.</x:v>
      </x:c>
      <x:c r="E221" s="51" t="str"/>
      <x:c r="F221" s="51" t="n">
        <x:v>0</x:v>
      </x:c>
      <x:c r="G221" s="51" t="n">
        <x:v>0</x:v>
      </x:c>
      <x:c r="H221" s="51" t="n">
        <x:v>0</x:v>
      </x:c>
      <x:c r="I221" s="51" t="str">
        <x:v>Missing</x:v>
      </x:c>
      <x:c r="J221" s="51" t="n">
        <x:v>0</x:v>
      </x:c>
      <x:c r="K221" s="51" t="n">
        <x:v>0</x:v>
      </x:c>
      <x:c r="L221" s="51" t="n">
        <x:f>MIN(100,IF(C221,20,0)+F221*45+G221*30+H221*15+IF(I221="CriticalBlocked",30,IF(I221="Blocked",20,IF(I221="Missing",20,IF(I221="Partial",10,0))))+J221*20+K221*10)</x:f>
        <x:v>20</x:v>
      </x:c>
      <x:c r="M221" s="51" t="str">
        <x:f>IF(L221&gt;=75,"Critical",IF(L221&gt;=50,"High",IF(L221&gt;=25,"Moderate","Low")))</x:f>
        <x:v>Low</x:v>
      </x:c>
      <x:c r="N221" s="51" t="str">
        <x:v>Unreviewed</x:v>
      </x:c>
      <x:c r="O221" s="51" t="str"/>
      <x:c r="P221" s="51" t="str"/>
      <x:c r="Q221" s="49"/>
      <x:c r="R221" s="49"/>
      <x:c r="S221" s="49"/>
      <x:c r="T221" s="49"/>
      <x:c r="U221" s="49"/>
      <x:c r="V221" s="49"/>
      <x:c r="W221" s="49"/>
      <x:c r="X221" s="49"/>
      <x:c r="Y221" s="49"/>
      <x:c r="Z221" s="49"/>
    </x:row>
    <x:row r="222">
      <x:c r="A222" s="51" t="str">
        <x:v>MM.34.3</x:v>
      </x:c>
      <x:c r="B222" s="51" t="str">
        <x:v>MM.34</x:v>
      </x:c>
      <x:c r="C222" s="59" t="b">
        <x:v>0</x:v>
      </x:c>
      <x:c r="D222" s="51" t="str">
        <x:v>The hospital notifies prescribers and individuals involved in prescribing, dispensing and administration of recalled, damaged, and discontinued medications</x:v>
      </x:c>
      <x:c r="E222" s="51" t="str"/>
      <x:c r="F222" s="51" t="n">
        <x:v>0</x:v>
      </x:c>
      <x:c r="G222" s="51" t="n">
        <x:v>0</x:v>
      </x:c>
      <x:c r="H222" s="51" t="n">
        <x:v>0</x:v>
      </x:c>
      <x:c r="I222" s="51" t="str">
        <x:v>Missing</x:v>
      </x:c>
      <x:c r="J222" s="51" t="n">
        <x:v>0</x:v>
      </x:c>
      <x:c r="K222" s="51" t="n">
        <x:v>0</x:v>
      </x:c>
      <x:c r="L222" s="51" t="n">
        <x:f>MIN(100,IF(C222,20,0)+F222*45+G222*30+H222*15+IF(I222="CriticalBlocked",30,IF(I222="Blocked",20,IF(I222="Missing",20,IF(I222="Partial",10,0))))+J222*20+K222*10)</x:f>
        <x:v>20</x:v>
      </x:c>
      <x:c r="M222" s="51" t="str">
        <x:f>IF(L222&gt;=75,"Critical",IF(L222&gt;=50,"High",IF(L222&gt;=25,"Moderate","Low")))</x:f>
        <x:v>Low</x:v>
      </x:c>
      <x:c r="N222" s="51" t="str">
        <x:v>Unreviewed</x:v>
      </x:c>
      <x:c r="O222" s="51" t="str"/>
      <x:c r="P222" s="51" t="str"/>
      <x:c r="Q222" s="49"/>
      <x:c r="R222" s="49"/>
      <x:c r="S222" s="49"/>
      <x:c r="T222" s="49"/>
      <x:c r="U222" s="49"/>
      <x:c r="V222" s="49"/>
      <x:c r="W222" s="49"/>
      <x:c r="X222" s="49"/>
      <x:c r="Y222" s="49"/>
      <x:c r="Z222" s="49"/>
    </x:row>
    <x:row r="223">
      <x:c r="A223" s="51" t="str">
        <x:v>MM.34.4</x:v>
      </x:c>
      <x:c r="B223" s="51" t="str">
        <x:v>MM.34</x:v>
      </x:c>
      <x:c r="C223" s="59" t="b">
        <x:v>0</x:v>
      </x:c>
      <x:c r="D223" s="51" t="str">
        <x:v>The hospital informs patients that their medication has been recalled or discontinued for safety reasons</x:v>
      </x:c>
      <x:c r="E223" s="51" t="str"/>
      <x:c r="F223" s="51" t="n">
        <x:v>0</x:v>
      </x:c>
      <x:c r="G223" s="51" t="n">
        <x:v>0</x:v>
      </x:c>
      <x:c r="H223" s="51" t="n">
        <x:v>0</x:v>
      </x:c>
      <x:c r="I223" s="51" t="str">
        <x:v>Missing</x:v>
      </x:c>
      <x:c r="J223" s="51" t="n">
        <x:v>0</x:v>
      </x:c>
      <x:c r="K223" s="51" t="n">
        <x:v>0</x:v>
      </x:c>
      <x:c r="L223" s="51" t="n">
        <x:f>MIN(100,IF(C223,20,0)+F223*45+G223*30+H223*15+IF(I223="CriticalBlocked",30,IF(I223="Blocked",20,IF(I223="Missing",20,IF(I223="Partial",10,0))))+J223*20+K223*10)</x:f>
        <x:v>20</x:v>
      </x:c>
      <x:c r="M223" s="51" t="str">
        <x:f>IF(L223&gt;=75,"Critical",IF(L223&gt;=50,"High",IF(L223&gt;=25,"Moderate","Low")))</x:f>
        <x:v>Low</x:v>
      </x:c>
      <x:c r="N223" s="51" t="str">
        <x:v>Unreviewed</x:v>
      </x:c>
      <x:c r="O223" s="51" t="str"/>
      <x:c r="P223" s="51" t="str"/>
      <x:c r="Q223" s="49"/>
      <x:c r="R223" s="49"/>
      <x:c r="S223" s="49"/>
      <x:c r="T223" s="49"/>
      <x:c r="U223" s="49"/>
      <x:c r="V223" s="49"/>
      <x:c r="W223" s="49"/>
      <x:c r="X223" s="49"/>
      <x:c r="Y223" s="49"/>
      <x:c r="Z223" s="49"/>
    </x:row>
    <x:row r="224">
      <x:c r="A224" s="51" t="str">
        <x:v>MM.34.5</x:v>
      </x:c>
      <x:c r="B224" s="51" t="str">
        <x:v>MM.34</x:v>
      </x:c>
      <x:c r="C224" s="59" t="b">
        <x:v>0</x:v>
      </x:c>
      <x:c r="D224" s="51" t="str">
        <x:v>The hospital complies with handling recalled, discontinued, and damaged medications guidelines.</x:v>
      </x:c>
      <x:c r="E224" s="51" t="str"/>
      <x:c r="F224" s="51" t="n">
        <x:v>0</x:v>
      </x:c>
      <x:c r="G224" s="51" t="n">
        <x:v>0</x:v>
      </x:c>
      <x:c r="H224" s="51" t="n">
        <x:v>0</x:v>
      </x:c>
      <x:c r="I224" s="51" t="str">
        <x:v>Missing</x:v>
      </x:c>
      <x:c r="J224" s="51" t="n">
        <x:v>0</x:v>
      </x:c>
      <x:c r="K224" s="51" t="n">
        <x:v>0</x:v>
      </x:c>
      <x:c r="L224" s="51" t="n">
        <x:f>MIN(100,IF(C224,20,0)+F224*45+G224*30+H224*15+IF(I224="CriticalBlocked",30,IF(I224="Blocked",20,IF(I224="Missing",20,IF(I224="Partial",10,0))))+J224*20+K224*10)</x:f>
        <x:v>20</x:v>
      </x:c>
      <x:c r="M224" s="51" t="str">
        <x:f>IF(L224&gt;=75,"Critical",IF(L224&gt;=50,"High",IF(L224&gt;=25,"Moderate","Low")))</x:f>
        <x:v>Low</x:v>
      </x:c>
      <x:c r="N224" s="51" t="str">
        <x:v>Unreviewed</x:v>
      </x:c>
      <x:c r="O224" s="51" t="str"/>
      <x:c r="P224" s="51" t="str"/>
      <x:c r="Q224" s="49"/>
      <x:c r="R224" s="49"/>
      <x:c r="S224" s="49"/>
      <x:c r="T224" s="49"/>
      <x:c r="U224" s="49"/>
      <x:c r="V224" s="49"/>
      <x:c r="W224" s="49"/>
      <x:c r="X224" s="49"/>
      <x:c r="Y224" s="49"/>
      <x:c r="Z224" s="49"/>
    </x:row>
    <x:row r="225">
      <x:c r="A225" s="51" t="str">
        <x:v>MM.35.1</x:v>
      </x:c>
      <x:c r="B225" s="51" t="str">
        <x:v>MM.35</x:v>
      </x:c>
      <x:c r="C225" s="59" t="b">
        <x:v>0</x:v>
      </x:c>
      <x:c r="D225" s="51" t="str">
        <x:v>The pharmaceutical care department has a system for provision of outpatient education and counseling that includes verbal explanation and instructions by a pharmacist to patients and their families on the safe and effective use, administration, and storage condition of medications.</x:v>
      </x:c>
      <x:c r="E225" s="51" t="str"/>
      <x:c r="F225" s="51" t="n">
        <x:v>0</x:v>
      </x:c>
      <x:c r="G225" s="51" t="n">
        <x:v>0</x:v>
      </x:c>
      <x:c r="H225" s="51" t="n">
        <x:v>0</x:v>
      </x:c>
      <x:c r="I225" s="51" t="str">
        <x:v>Missing</x:v>
      </x:c>
      <x:c r="J225" s="51" t="n">
        <x:v>0</x:v>
      </x:c>
      <x:c r="K225" s="51" t="n">
        <x:v>0</x:v>
      </x:c>
      <x:c r="L225" s="51" t="n">
        <x:f>MIN(100,IF(C225,20,0)+F225*45+G225*30+H225*15+IF(I225="CriticalBlocked",30,IF(I225="Blocked",20,IF(I225="Missing",20,IF(I225="Partial",10,0))))+J225*20+K225*10)</x:f>
        <x:v>20</x:v>
      </x:c>
      <x:c r="M225" s="51" t="str">
        <x:f>IF(L225&gt;=75,"Critical",IF(L225&gt;=50,"High",IF(L225&gt;=25,"Moderate","Low")))</x:f>
        <x:v>Low</x:v>
      </x:c>
      <x:c r="N225" s="51" t="str">
        <x:v>Unreviewed</x:v>
      </x:c>
      <x:c r="O225" s="51" t="str"/>
      <x:c r="P225" s="51" t="str"/>
      <x:c r="Q225" s="49"/>
      <x:c r="R225" s="49"/>
      <x:c r="S225" s="49"/>
      <x:c r="T225" s="49"/>
      <x:c r="U225" s="49"/>
      <x:c r="V225" s="49"/>
      <x:c r="W225" s="49"/>
      <x:c r="X225" s="49"/>
      <x:c r="Y225" s="49"/>
      <x:c r="Z225" s="49"/>
    </x:row>
    <x:row r="226">
      <x:c r="A226" s="51" t="str">
        <x:v>MM.35.2</x:v>
      </x:c>
      <x:c r="B226" s="51" t="str">
        <x:v>MM.35</x:v>
      </x:c>
      <x:c r="C226" s="59" t="b">
        <x:v>0</x:v>
      </x:c>
      <x:c r="D226" s="51" t="str">
        <x:v>Written educational information is given in a language and form the patient can understand</x:v>
      </x:c>
      <x:c r="E226" s="51" t="str"/>
      <x:c r="F226" s="51" t="n">
        <x:v>0</x:v>
      </x:c>
      <x:c r="G226" s="51" t="n">
        <x:v>0</x:v>
      </x:c>
      <x:c r="H226" s="51" t="n">
        <x:v>0</x:v>
      </x:c>
      <x:c r="I226" s="51" t="str">
        <x:v>Missing</x:v>
      </x:c>
      <x:c r="J226" s="51" t="n">
        <x:v>0</x:v>
      </x:c>
      <x:c r="K226" s="51" t="n">
        <x:v>0</x:v>
      </x:c>
      <x:c r="L226" s="51" t="n">
        <x:f>MIN(100,IF(C226,20,0)+F226*45+G226*30+H226*15+IF(I226="CriticalBlocked",30,IF(I226="Blocked",20,IF(I226="Missing",20,IF(I226="Partial",10,0))))+J226*20+K226*10)</x:f>
        <x:v>20</x:v>
      </x:c>
      <x:c r="M226" s="51" t="str">
        <x:f>IF(L226&gt;=75,"Critical",IF(L226&gt;=50,"High",IF(L226&gt;=25,"Moderate","Low")))</x:f>
        <x:v>Low</x:v>
      </x:c>
      <x:c r="N226" s="51" t="str">
        <x:v>Unreviewed</x:v>
      </x:c>
      <x:c r="O226" s="51" t="str"/>
      <x:c r="P226" s="51" t="str"/>
      <x:c r="Q226" s="49"/>
      <x:c r="R226" s="49"/>
      <x:c r="S226" s="49"/>
      <x:c r="T226" s="49"/>
      <x:c r="U226" s="49"/>
      <x:c r="V226" s="49"/>
      <x:c r="W226" s="49"/>
      <x:c r="X226" s="49"/>
      <x:c r="Y226" s="49"/>
      <x:c r="Z226" s="49"/>
    </x:row>
    <x:row r="227">
      <x:c r="A227" s="51" t="str">
        <x:v>MM.35.3</x:v>
      </x:c>
      <x:c r="B227" s="51" t="str">
        <x:v>MM.35</x:v>
      </x:c>
      <x:c r="C227" s="59" t="b">
        <x:v>0</x:v>
      </x:c>
      <x:c r="D227" s="51" t="str">
        <x:v>Patient privacy is maintained during education and counseling.</x:v>
      </x:c>
      <x:c r="E227" s="51" t="str"/>
      <x:c r="F227" s="51" t="n">
        <x:v>0</x:v>
      </x:c>
      <x:c r="G227" s="51" t="n">
        <x:v>0</x:v>
      </x:c>
      <x:c r="H227" s="51" t="n">
        <x:v>0</x:v>
      </x:c>
      <x:c r="I227" s="51" t="str">
        <x:v>Missing</x:v>
      </x:c>
      <x:c r="J227" s="51" t="n">
        <x:v>0</x:v>
      </x:c>
      <x:c r="K227" s="51" t="n">
        <x:v>0</x:v>
      </x:c>
      <x:c r="L227" s="51" t="n">
        <x:f>MIN(100,IF(C227,20,0)+F227*45+G227*30+H227*15+IF(I227="CriticalBlocked",30,IF(I227="Blocked",20,IF(I227="Missing",20,IF(I227="Partial",10,0))))+J227*20+K227*10)</x:f>
        <x:v>20</x:v>
      </x:c>
      <x:c r="M227" s="51" t="str">
        <x:f>IF(L227&gt;=75,"Critical",IF(L227&gt;=50,"High",IF(L227&gt;=25,"Moderate","Low")))</x:f>
        <x:v>Low</x:v>
      </x:c>
      <x:c r="N227" s="51" t="str">
        <x:v>Unreviewed</x:v>
      </x:c>
      <x:c r="O227" s="51" t="str"/>
      <x:c r="P227" s="51" t="str"/>
      <x:c r="Q227" s="49"/>
      <x:c r="R227" s="49"/>
      <x:c r="S227" s="49"/>
      <x:c r="T227" s="49"/>
      <x:c r="U227" s="49"/>
      <x:c r="V227" s="49"/>
      <x:c r="W227" s="49"/>
      <x:c r="X227" s="49"/>
      <x:c r="Y227" s="49"/>
      <x:c r="Z227" s="49"/>
    </x:row>
    <x:row r="228">
      <x:c r="A228" s="51" t="str">
        <x:v>MM.36.1</x:v>
      </x:c>
      <x:c r="B228" s="51" t="str">
        <x:v>MM.36</x:v>
      </x:c>
      <x:c r="C228" s="59" t="b">
        <x:v>0</x:v>
      </x:c>
      <x:c r="D228" s="51" t="str">
        <x:v>The hospital defines nurses and other clinical staff authorized to administer medications with or without supervision.</x:v>
      </x:c>
      <x:c r="E228" s="51" t="str"/>
      <x:c r="F228" s="51" t="n">
        <x:v>0</x:v>
      </x:c>
      <x:c r="G228" s="51" t="n">
        <x:v>0</x:v>
      </x:c>
      <x:c r="H228" s="51" t="n">
        <x:v>0</x:v>
      </x:c>
      <x:c r="I228" s="51" t="str">
        <x:v>Missing</x:v>
      </x:c>
      <x:c r="J228" s="51" t="n">
        <x:v>0</x:v>
      </x:c>
      <x:c r="K228" s="51" t="n">
        <x:v>0</x:v>
      </x:c>
      <x:c r="L228" s="51" t="n">
        <x:f>MIN(100,IF(C228,20,0)+F228*45+G228*30+H228*15+IF(I228="CriticalBlocked",30,IF(I228="Blocked",20,IF(I228="Missing",20,IF(I228="Partial",10,0))))+J228*20+K228*10)</x:f>
        <x:v>20</x:v>
      </x:c>
      <x:c r="M228" s="51" t="str">
        <x:f>IF(L228&gt;=75,"Critical",IF(L228&gt;=50,"High",IF(L228&gt;=25,"Moderate","Low")))</x:f>
        <x:v>Low</x:v>
      </x:c>
      <x:c r="N228" s="51" t="str">
        <x:v>Unreviewed</x:v>
      </x:c>
      <x:c r="O228" s="51" t="str"/>
      <x:c r="P228" s="51" t="str"/>
      <x:c r="Q228" s="49"/>
      <x:c r="R228" s="49"/>
      <x:c r="S228" s="49"/>
      <x:c r="T228" s="49"/>
      <x:c r="U228" s="49"/>
      <x:c r="V228" s="49"/>
      <x:c r="W228" s="49"/>
      <x:c r="X228" s="49"/>
      <x:c r="Y228" s="49"/>
      <x:c r="Z228" s="49"/>
    </x:row>
    <x:row r="229">
      <x:c r="A229" s="51" t="str">
        <x:v>MM.36.2</x:v>
      </x:c>
      <x:c r="B229" s="51" t="str">
        <x:v>MM.36</x:v>
      </x:c>
      <x:c r="C229" s="59" t="b">
        <x:v>0</x:v>
      </x:c>
      <x:c r="D229" s="51" t="str">
        <x:v>Qualifications, experiences, and competency assessments of individuals involved in drug administration are available in their personnel files.</x:v>
      </x:c>
      <x:c r="E229" s="51" t="str"/>
      <x:c r="F229" s="51" t="n">
        <x:v>0</x:v>
      </x:c>
      <x:c r="G229" s="51" t="n">
        <x:v>0</x:v>
      </x:c>
      <x:c r="H229" s="51" t="n">
        <x:v>0</x:v>
      </x:c>
      <x:c r="I229" s="51" t="str">
        <x:v>Missing</x:v>
      </x:c>
      <x:c r="J229" s="51" t="n">
        <x:v>0</x:v>
      </x:c>
      <x:c r="K229" s="51" t="n">
        <x:v>0</x:v>
      </x:c>
      <x:c r="L229" s="51" t="n">
        <x:f>MIN(100,IF(C229,20,0)+F229*45+G229*30+H229*15+IF(I229="CriticalBlocked",30,IF(I229="Blocked",20,IF(I229="Missing",20,IF(I229="Partial",10,0))))+J229*20+K229*10)</x:f>
        <x:v>20</x:v>
      </x:c>
      <x:c r="M229" s="51" t="str">
        <x:f>IF(L229&gt;=75,"Critical",IF(L229&gt;=50,"High",IF(L229&gt;=25,"Moderate","Low")))</x:f>
        <x:v>Low</x:v>
      </x:c>
      <x:c r="N229" s="51" t="str">
        <x:v>Unreviewed</x:v>
      </x:c>
      <x:c r="O229" s="51" t="str"/>
      <x:c r="P229" s="51" t="str"/>
      <x:c r="Q229" s="49"/>
      <x:c r="R229" s="49"/>
      <x:c r="S229" s="49"/>
      <x:c r="T229" s="49"/>
      <x:c r="U229" s="49"/>
      <x:c r="V229" s="49"/>
      <x:c r="W229" s="49"/>
      <x:c r="X229" s="49"/>
      <x:c r="Y229" s="49"/>
      <x:c r="Z229" s="49"/>
    </x:row>
    <x:row r="230">
      <x:c r="A230" s="51" t="str">
        <x:v>MM.36.3</x:v>
      </x:c>
      <x:c r="B230" s="51" t="str">
        <x:v>MM.36</x:v>
      </x:c>
      <x:c r="C230" s="59" t="b">
        <x:v>0</x:v>
      </x:c>
      <x:c r="D230" s="51" t="str">
        <x:v>The hospital guidelines for safe administration of intravenous push medications are available, disseminated and implemented in all patient care units. The guidelines include medication name, infusion time, nurse qualification and patient care unit.</x:v>
      </x:c>
      <x:c r="E230" s="51" t="str"/>
      <x:c r="F230" s="51" t="n">
        <x:v>0</x:v>
      </x:c>
      <x:c r="G230" s="51" t="n">
        <x:v>0</x:v>
      </x:c>
      <x:c r="H230" s="51" t="n">
        <x:v>0</x:v>
      </x:c>
      <x:c r="I230" s="51" t="str">
        <x:v>Missing</x:v>
      </x:c>
      <x:c r="J230" s="51" t="n">
        <x:v>0</x:v>
      </x:c>
      <x:c r="K230" s="51" t="n">
        <x:v>0</x:v>
      </x:c>
      <x:c r="L230" s="51" t="n">
        <x:f>MIN(100,IF(C230,20,0)+F230*45+G230*30+H230*15+IF(I230="CriticalBlocked",30,IF(I230="Blocked",20,IF(I230="Missing",20,IF(I230="Partial",10,0))))+J230*20+K230*10)</x:f>
        <x:v>20</x:v>
      </x:c>
      <x:c r="M230" s="51" t="str">
        <x:f>IF(L230&gt;=75,"Critical",IF(L230&gt;=50,"High",IF(L230&gt;=25,"Moderate","Low")))</x:f>
        <x:v>Low</x:v>
      </x:c>
      <x:c r="N230" s="51" t="str">
        <x:v>Unreviewed</x:v>
      </x:c>
      <x:c r="O230" s="51" t="str"/>
      <x:c r="P230" s="51" t="str"/>
      <x:c r="Q230" s="49"/>
      <x:c r="R230" s="49"/>
      <x:c r="S230" s="49"/>
      <x:c r="T230" s="49"/>
      <x:c r="U230" s="49"/>
      <x:c r="V230" s="49"/>
      <x:c r="W230" s="49"/>
      <x:c r="X230" s="49"/>
      <x:c r="Y230" s="49"/>
      <x:c r="Z230" s="49"/>
    </x:row>
    <x:row r="231">
      <x:c r="A231" s="51" t="str">
        <x:v>MM.36.4</x:v>
      </x:c>
      <x:c r="B231" s="51" t="str">
        <x:v>MM.36</x:v>
      </x:c>
      <x:c r="C231" s="59" t="b">
        <x:v>0</x:v>
      </x:c>
      <x:c r="D231" s="51" t="str">
        <x:v>The hospital has approved, disseminated, and implemented guidelines on standard drug administration time.</x:v>
      </x:c>
      <x:c r="E231" s="51" t="str"/>
      <x:c r="F231" s="51" t="n">
        <x:v>0</x:v>
      </x:c>
      <x:c r="G231" s="51" t="n">
        <x:v>0</x:v>
      </x:c>
      <x:c r="H231" s="51" t="n">
        <x:v>0</x:v>
      </x:c>
      <x:c r="I231" s="51" t="str">
        <x:v>Missing</x:v>
      </x:c>
      <x:c r="J231" s="51" t="n">
        <x:v>0</x:v>
      </x:c>
      <x:c r="K231" s="51" t="n">
        <x:v>0</x:v>
      </x:c>
      <x:c r="L231" s="51" t="n">
        <x:f>MIN(100,IF(C231,20,0)+F231*45+G231*30+H231*15+IF(I231="CriticalBlocked",30,IF(I231="Blocked",20,IF(I231="Missing",20,IF(I231="Partial",10,0))))+J231*20+K231*10)</x:f>
        <x:v>20</x:v>
      </x:c>
      <x:c r="M231" s="51" t="str">
        <x:f>IF(L231&gt;=75,"Critical",IF(L231&gt;=50,"High",IF(L231&gt;=25,"Moderate","Low")))</x:f>
        <x:v>Low</x:v>
      </x:c>
      <x:c r="N231" s="51" t="str">
        <x:v>Unreviewed</x:v>
      </x:c>
      <x:c r="O231" s="51" t="str"/>
      <x:c r="P231" s="51" t="str"/>
      <x:c r="Q231" s="49"/>
      <x:c r="R231" s="49"/>
      <x:c r="S231" s="49"/>
      <x:c r="T231" s="49"/>
      <x:c r="U231" s="49"/>
      <x:c r="V231" s="49"/>
      <x:c r="W231" s="49"/>
      <x:c r="X231" s="49"/>
      <x:c r="Y231" s="49"/>
      <x:c r="Z231" s="49"/>
    </x:row>
    <x:row r="232">
      <x:c r="A232" s="51" t="str">
        <x:v>MM.36.5</x:v>
      </x:c>
      <x:c r="B232" s="51" t="str">
        <x:v>MM.36</x:v>
      </x:c>
      <x:c r="C232" s="59" t="b">
        <x:v>0</x:v>
      </x:c>
      <x:c r="D232" s="51" t="str">
        <x:v>The hospital maintains accurate records of the disposal of the unused portion of narcotic drugs and controlled substances.</x:v>
      </x:c>
      <x:c r="E232" s="51" t="str"/>
      <x:c r="F232" s="51" t="n">
        <x:v>0</x:v>
      </x:c>
      <x:c r="G232" s="51" t="n">
        <x:v>0</x:v>
      </x:c>
      <x:c r="H232" s="51" t="n">
        <x:v>0</x:v>
      </x:c>
      <x:c r="I232" s="51" t="str">
        <x:v>Missing</x:v>
      </x:c>
      <x:c r="J232" s="51" t="n">
        <x:v>0</x:v>
      </x:c>
      <x:c r="K232" s="51" t="n">
        <x:v>0</x:v>
      </x:c>
      <x:c r="L232" s="51" t="n">
        <x:f>MIN(100,IF(C232,20,0)+F232*45+G232*30+H232*15+IF(I232="CriticalBlocked",30,IF(I232="Blocked",20,IF(I232="Missing",20,IF(I232="Partial",10,0))))+J232*20+K232*10)</x:f>
        <x:v>20</x:v>
      </x:c>
      <x:c r="M232" s="51" t="str">
        <x:f>IF(L232&gt;=75,"Critical",IF(L232&gt;=50,"High",IF(L232&gt;=25,"Moderate","Low")))</x:f>
        <x:v>Low</x:v>
      </x:c>
      <x:c r="N232" s="51" t="str">
        <x:v>Unreviewed</x:v>
      </x:c>
      <x:c r="O232" s="51" t="str"/>
      <x:c r="P232" s="51" t="str"/>
      <x:c r="Q232" s="49"/>
      <x:c r="R232" s="49"/>
      <x:c r="S232" s="49"/>
      <x:c r="T232" s="49"/>
      <x:c r="U232" s="49"/>
      <x:c r="V232" s="49"/>
      <x:c r="W232" s="49"/>
      <x:c r="X232" s="49"/>
      <x:c r="Y232" s="49"/>
      <x:c r="Z232" s="49"/>
    </x:row>
    <x:row r="233">
      <x:c r="A233" s="51" t="str">
        <x:v>MM.36.6</x:v>
      </x:c>
      <x:c r="B233" s="51" t="str">
        <x:v>MM.36</x:v>
      </x:c>
      <x:c r="C233" s="59" t="b">
        <x:v>0</x:v>
      </x:c>
      <x:c r="D233" s="51" t="str">
        <x:v>The hospital maintains updated and accurate records of drug administration.</x:v>
      </x:c>
      <x:c r="E233" s="51" t="str"/>
      <x:c r="F233" s="51" t="n">
        <x:v>0</x:v>
      </x:c>
      <x:c r="G233" s="51" t="n">
        <x:v>0</x:v>
      </x:c>
      <x:c r="H233" s="51" t="n">
        <x:v>0</x:v>
      </x:c>
      <x:c r="I233" s="51" t="str">
        <x:v>Missing</x:v>
      </x:c>
      <x:c r="J233" s="51" t="n">
        <x:v>0</x:v>
      </x:c>
      <x:c r="K233" s="51" t="n">
        <x:v>0</x:v>
      </x:c>
      <x:c r="L233" s="51" t="n">
        <x:f>MIN(100,IF(C233,20,0)+F233*45+G233*30+H233*15+IF(I233="CriticalBlocked",30,IF(I233="Blocked",20,IF(I233="Missing",20,IF(I233="Partial",10,0))))+J233*20+K233*10)</x:f>
        <x:v>20</x:v>
      </x:c>
      <x:c r="M233" s="51" t="str">
        <x:f>IF(L233&gt;=75,"Critical",IF(L233&gt;=50,"High",IF(L233&gt;=25,"Moderate","Low")))</x:f>
        <x:v>Low</x:v>
      </x:c>
      <x:c r="N233" s="51" t="str">
        <x:v>Unreviewed</x:v>
      </x:c>
      <x:c r="O233" s="51" t="str"/>
      <x:c r="P233" s="51" t="str"/>
      <x:c r="Q233" s="49"/>
      <x:c r="R233" s="49"/>
      <x:c r="S233" s="49"/>
      <x:c r="T233" s="49"/>
      <x:c r="U233" s="49"/>
      <x:c r="V233" s="49"/>
      <x:c r="W233" s="49"/>
      <x:c r="X233" s="49"/>
      <x:c r="Y233" s="49"/>
      <x:c r="Z233" s="49"/>
    </x:row>
    <x:row r="234">
      <x:c r="A234" s="51" t="str">
        <x:v>MM.36.7</x:v>
      </x:c>
      <x:c r="B234" s="51" t="str">
        <x:v>MM.36</x:v>
      </x:c>
      <x:c r="C234" s="59" t="b">
        <x:v>0</x:v>
      </x:c>
      <x:c r="D234" s="51" t="str">
        <x:v>Independent double check of all high alert medications is performed.</x:v>
      </x:c>
      <x:c r="E234" s="51" t="str"/>
      <x:c r="F234" s="51" t="n">
        <x:v>0</x:v>
      </x:c>
      <x:c r="G234" s="51" t="n">
        <x:v>0</x:v>
      </x:c>
      <x:c r="H234" s="51" t="n">
        <x:v>0</x:v>
      </x:c>
      <x:c r="I234" s="51" t="str">
        <x:v>Missing</x:v>
      </x:c>
      <x:c r="J234" s="51" t="n">
        <x:v>0</x:v>
      </x:c>
      <x:c r="K234" s="51" t="n">
        <x:v>0</x:v>
      </x:c>
      <x:c r="L234" s="51" t="n">
        <x:f>MIN(100,IF(C234,20,0)+F234*45+G234*30+H234*15+IF(I234="CriticalBlocked",30,IF(I234="Blocked",20,IF(I234="Missing",20,IF(I234="Partial",10,0))))+J234*20+K234*10)</x:f>
        <x:v>20</x:v>
      </x:c>
      <x:c r="M234" s="51" t="str">
        <x:f>IF(L234&gt;=75,"Critical",IF(L234&gt;=50,"High",IF(L234&gt;=25,"Moderate","Low")))</x:f>
        <x:v>Low</x:v>
      </x:c>
      <x:c r="N234" s="51" t="str">
        <x:v>Unreviewed</x:v>
      </x:c>
      <x:c r="O234" s="51" t="str"/>
      <x:c r="P234" s="51" t="str"/>
      <x:c r="Q234" s="49"/>
      <x:c r="R234" s="49"/>
      <x:c r="S234" s="49"/>
      <x:c r="T234" s="49"/>
      <x:c r="U234" s="49"/>
      <x:c r="V234" s="49"/>
      <x:c r="W234" s="49"/>
      <x:c r="X234" s="49"/>
      <x:c r="Y234" s="49"/>
      <x:c r="Z234" s="49"/>
    </x:row>
    <x:row r="235">
      <x:c r="A235" s="51" t="str">
        <x:v>MM.36.8</x:v>
      </x:c>
      <x:c r="B235" s="51" t="str">
        <x:v>MM.36</x:v>
      </x:c>
      <x:c r="C235" s="59" t="b">
        <x:v>0</x:v>
      </x:c>
      <x:c r="D235" s="51" t="str">
        <x:v>The hospital adopts safe administration and disposal of chemotherapy.</x:v>
      </x:c>
      <x:c r="E235" s="51" t="str"/>
      <x:c r="F235" s="51" t="n">
        <x:v>0</x:v>
      </x:c>
      <x:c r="G235" s="51" t="n">
        <x:v>0</x:v>
      </x:c>
      <x:c r="H235" s="51" t="n">
        <x:v>0</x:v>
      </x:c>
      <x:c r="I235" s="51" t="str">
        <x:v>Missing</x:v>
      </x:c>
      <x:c r="J235" s="51" t="n">
        <x:v>0</x:v>
      </x:c>
      <x:c r="K235" s="51" t="n">
        <x:v>0</x:v>
      </x:c>
      <x:c r="L235" s="51" t="n">
        <x:f>MIN(100,IF(C235,20,0)+F235*45+G235*30+H235*15+IF(I235="CriticalBlocked",30,IF(I235="Blocked",20,IF(I235="Missing",20,IF(I235="Partial",10,0))))+J235*20+K235*10)</x:f>
        <x:v>20</x:v>
      </x:c>
      <x:c r="M235" s="51" t="str">
        <x:f>IF(L235&gt;=75,"Critical",IF(L235&gt;=50,"High",IF(L235&gt;=25,"Moderate","Low")))</x:f>
        <x:v>Low</x:v>
      </x:c>
      <x:c r="N235" s="51" t="str">
        <x:v>Unreviewed</x:v>
      </x:c>
      <x:c r="O235" s="51" t="str"/>
      <x:c r="P235" s="51" t="str"/>
      <x:c r="Q235" s="49"/>
      <x:c r="R235" s="49"/>
      <x:c r="S235" s="49"/>
      <x:c r="T235" s="49"/>
      <x:c r="U235" s="49"/>
      <x:c r="V235" s="49"/>
      <x:c r="W235" s="49"/>
      <x:c r="X235" s="49"/>
      <x:c r="Y235" s="49"/>
      <x:c r="Z235" s="49"/>
    </x:row>
    <x:row r="236">
      <x:c r="A236" s="51" t="str">
        <x:v>MM.37.1</x:v>
      </x:c>
      <x:c r="B236" s="51" t="str">
        <x:v>MM.37</x:v>
      </x:c>
      <x:c r="C236" s="59" t="b">
        <x:v>0</x:v>
      </x:c>
      <x:c r="D236" s="51" t="str">
        <x:v>The hospital implements a multidisciplinary policy and procedure on proper verification of dispensed medications before administration (right patient, right medicine, right dose, right frequency, right route, and right time).</x:v>
      </x:c>
      <x:c r="E236" s="51" t="str"/>
      <x:c r="F236" s="51" t="n">
        <x:v>0</x:v>
      </x:c>
      <x:c r="G236" s="51" t="n">
        <x:v>0</x:v>
      </x:c>
      <x:c r="H236" s="51" t="n">
        <x:v>0</x:v>
      </x:c>
      <x:c r="I236" s="51" t="str">
        <x:v>Missing</x:v>
      </x:c>
      <x:c r="J236" s="51" t="n">
        <x:v>0</x:v>
      </x:c>
      <x:c r="K236" s="51" t="n">
        <x:v>0</x:v>
      </x:c>
      <x:c r="L236" s="51" t="n">
        <x:f>MIN(100,IF(C236,20,0)+F236*45+G236*30+H236*15+IF(I236="CriticalBlocked",30,IF(I236="Blocked",20,IF(I236="Missing",20,IF(I236="Partial",10,0))))+J236*20+K236*10)</x:f>
        <x:v>20</x:v>
      </x:c>
      <x:c r="M236" s="51" t="str">
        <x:f>IF(L236&gt;=75,"Critical",IF(L236&gt;=50,"High",IF(L236&gt;=25,"Moderate","Low")))</x:f>
        <x:v>Low</x:v>
      </x:c>
      <x:c r="N236" s="51" t="str">
        <x:v>Unreviewed</x:v>
      </x:c>
      <x:c r="O236" s="51" t="str"/>
      <x:c r="P236" s="51" t="str"/>
      <x:c r="Q236" s="49"/>
      <x:c r="R236" s="49"/>
      <x:c r="S236" s="49"/>
      <x:c r="T236" s="49"/>
      <x:c r="U236" s="49"/>
      <x:c r="V236" s="49"/>
      <x:c r="W236" s="49"/>
      <x:c r="X236" s="49"/>
      <x:c r="Y236" s="49"/>
      <x:c r="Z236" s="49"/>
    </x:row>
    <x:row r="237">
      <x:c r="A237" s="51" t="str">
        <x:v>MM.37.2</x:v>
      </x:c>
      <x:c r="B237" s="51" t="str">
        <x:v>MM.37</x:v>
      </x:c>
      <x:c r="C237" s="59" t="b">
        <x:v>0</x:v>
      </x:c>
      <x:c r="D237" s="51" t="str">
        <x:v>Medications are verified against the medication administration record (MAR) before administration</x:v>
      </x:c>
      <x:c r="E237" s="51" t="str"/>
      <x:c r="F237" s="51" t="n">
        <x:v>0</x:v>
      </x:c>
      <x:c r="G237" s="51" t="n">
        <x:v>0</x:v>
      </x:c>
      <x:c r="H237" s="51" t="n">
        <x:v>0</x:v>
      </x:c>
      <x:c r="I237" s="51" t="str">
        <x:v>Missing</x:v>
      </x:c>
      <x:c r="J237" s="51" t="n">
        <x:v>0</x:v>
      </x:c>
      <x:c r="K237" s="51" t="n">
        <x:v>0</x:v>
      </x:c>
      <x:c r="L237" s="51" t="n">
        <x:f>MIN(100,IF(C237,20,0)+F237*45+G237*30+H237*15+IF(I237="CriticalBlocked",30,IF(I237="Blocked",20,IF(I237="Missing",20,IF(I237="Partial",10,0))))+J237*20+K237*10)</x:f>
        <x:v>20</x:v>
      </x:c>
      <x:c r="M237" s="51" t="str">
        <x:f>IF(L237&gt;=75,"Critical",IF(L237&gt;=50,"High",IF(L237&gt;=25,"Moderate","Low")))</x:f>
        <x:v>Low</x:v>
      </x:c>
      <x:c r="N237" s="51" t="str">
        <x:v>Unreviewed</x:v>
      </x:c>
      <x:c r="O237" s="51" t="str"/>
      <x:c r="P237" s="51" t="str"/>
      <x:c r="Q237" s="49"/>
      <x:c r="R237" s="49"/>
      <x:c r="S237" s="49"/>
      <x:c r="T237" s="49"/>
      <x:c r="U237" s="49"/>
      <x:c r="V237" s="49"/>
      <x:c r="W237" s="49"/>
      <x:c r="X237" s="49"/>
      <x:c r="Y237" s="49"/>
      <x:c r="Z237" s="49"/>
    </x:row>
    <x:row r="238">
      <x:c r="A238" s="51" t="str">
        <x:v>MM.37.3</x:v>
      </x:c>
      <x:c r="B238" s="51" t="str">
        <x:v>MM.37</x:v>
      </x:c>
      <x:c r="C238" s="59" t="b">
        <x:v>0</x:v>
      </x:c>
      <x:c r="D238" s="51" t="str">
        <x:v>Medications are administered in the prescribed dose and by the correct route.</x:v>
      </x:c>
      <x:c r="E238" s="51" t="str"/>
      <x:c r="F238" s="51" t="n">
        <x:v>0</x:v>
      </x:c>
      <x:c r="G238" s="51" t="n">
        <x:v>0</x:v>
      </x:c>
      <x:c r="H238" s="51" t="n">
        <x:v>0</x:v>
      </x:c>
      <x:c r="I238" s="51" t="str">
        <x:v>Missing</x:v>
      </x:c>
      <x:c r="J238" s="51" t="n">
        <x:v>0</x:v>
      </x:c>
      <x:c r="K238" s="51" t="n">
        <x:v>0</x:v>
      </x:c>
      <x:c r="L238" s="51" t="n">
        <x:f>MIN(100,IF(C238,20,0)+F238*45+G238*30+H238*15+IF(I238="CriticalBlocked",30,IF(I238="Blocked",20,IF(I238="Missing",20,IF(I238="Partial",10,0))))+J238*20+K238*10)</x:f>
        <x:v>20</x:v>
      </x:c>
      <x:c r="M238" s="51" t="str">
        <x:f>IF(L238&gt;=75,"Critical",IF(L238&gt;=50,"High",IF(L238&gt;=25,"Moderate","Low")))</x:f>
        <x:v>Low</x:v>
      </x:c>
      <x:c r="N238" s="51" t="str">
        <x:v>Unreviewed</x:v>
      </x:c>
      <x:c r="O238" s="51" t="str"/>
      <x:c r="P238" s="51" t="str"/>
      <x:c r="Q238" s="49"/>
      <x:c r="R238" s="49"/>
      <x:c r="S238" s="49"/>
      <x:c r="T238" s="49"/>
      <x:c r="U238" s="49"/>
      <x:c r="V238" s="49"/>
      <x:c r="W238" s="49"/>
      <x:c r="X238" s="49"/>
      <x:c r="Y238" s="49"/>
      <x:c r="Z238" s="49"/>
    </x:row>
    <x:row r="239">
      <x:c r="A239" s="51" t="str">
        <x:v>MM.37.4</x:v>
      </x:c>
      <x:c r="B239" s="51" t="str">
        <x:v>MM.37</x:v>
      </x:c>
      <x:c r="C239" s="59" t="b">
        <x:v>0</x:v>
      </x:c>
      <x:c r="D239" s="51" t="str">
        <x:v>Medications are administered at the correct time (the approved hospital standard administration time).</x:v>
      </x:c>
      <x:c r="E239" s="51" t="str"/>
      <x:c r="F239" s="51" t="n">
        <x:v>0</x:v>
      </x:c>
      <x:c r="G239" s="51" t="n">
        <x:v>0</x:v>
      </x:c>
      <x:c r="H239" s="51" t="n">
        <x:v>0</x:v>
      </x:c>
      <x:c r="I239" s="51" t="str">
        <x:v>Missing</x:v>
      </x:c>
      <x:c r="J239" s="51" t="n">
        <x:v>0</x:v>
      </x:c>
      <x:c r="K239" s="51" t="n">
        <x:v>0</x:v>
      </x:c>
      <x:c r="L239" s="51" t="n">
        <x:f>MIN(100,IF(C239,20,0)+F239*45+G239*30+H239*15+IF(I239="CriticalBlocked",30,IF(I239="Blocked",20,IF(I239="Missing",20,IF(I239="Partial",10,0))))+J239*20+K239*10)</x:f>
        <x:v>20</x:v>
      </x:c>
      <x:c r="M239" s="51" t="str">
        <x:f>IF(L239&gt;=75,"Critical",IF(L239&gt;=50,"High",IF(L239&gt;=25,"Moderate","Low")))</x:f>
        <x:v>Low</x:v>
      </x:c>
      <x:c r="N239" s="51" t="str">
        <x:v>Unreviewed</x:v>
      </x:c>
      <x:c r="O239" s="51" t="str"/>
      <x:c r="P239" s="51" t="str"/>
      <x:c r="Q239" s="49"/>
      <x:c r="R239" s="49"/>
      <x:c r="S239" s="49"/>
      <x:c r="T239" s="49"/>
      <x:c r="U239" s="49"/>
      <x:c r="V239" s="49"/>
      <x:c r="W239" s="49"/>
      <x:c r="X239" s="49"/>
      <x:c r="Y239" s="49"/>
      <x:c r="Z239" s="49"/>
    </x:row>
    <x:row r="240">
      <x:c r="A240" s="51" t="str">
        <x:v>MM.37.5</x:v>
      </x:c>
      <x:c r="B240" s="51" t="str">
        <x:v>MM.37</x:v>
      </x:c>
      <x:c r="C240" s="59" t="b">
        <x:v>0</x:v>
      </x:c>
      <x:c r="D240" s="51" t="str">
        <x:v>Medications are administered after verifying the expiry date.</x:v>
      </x:c>
      <x:c r="E240" s="51" t="str"/>
      <x:c r="F240" s="51" t="n">
        <x:v>0</x:v>
      </x:c>
      <x:c r="G240" s="51" t="n">
        <x:v>0</x:v>
      </x:c>
      <x:c r="H240" s="51" t="n">
        <x:v>0</x:v>
      </x:c>
      <x:c r="I240" s="51" t="str">
        <x:v>Missing</x:v>
      </x:c>
      <x:c r="J240" s="51" t="n">
        <x:v>0</x:v>
      </x:c>
      <x:c r="K240" s="51" t="n">
        <x:v>0</x:v>
      </x:c>
      <x:c r="L240" s="51" t="n">
        <x:f>MIN(100,IF(C240,20,0)+F240*45+G240*30+H240*15+IF(I240="CriticalBlocked",30,IF(I240="Blocked",20,IF(I240="Missing",20,IF(I240="Partial",10,0))))+J240*20+K240*10)</x:f>
        <x:v>20</x:v>
      </x:c>
      <x:c r="M240" s="51" t="str">
        <x:f>IF(L240&gt;=75,"Critical",IF(L240&gt;=50,"High",IF(L240&gt;=25,"Moderate","Low")))</x:f>
        <x:v>Low</x:v>
      </x:c>
      <x:c r="N240" s="51" t="str">
        <x:v>Unreviewed</x:v>
      </x:c>
      <x:c r="O240" s="51" t="str"/>
      <x:c r="P240" s="51" t="str"/>
      <x:c r="Q240" s="49"/>
      <x:c r="R240" s="49"/>
      <x:c r="S240" s="49"/>
      <x:c r="T240" s="49"/>
      <x:c r="U240" s="49"/>
      <x:c r="V240" s="49"/>
      <x:c r="W240" s="49"/>
      <x:c r="X240" s="49"/>
      <x:c r="Y240" s="49"/>
      <x:c r="Z240" s="49"/>
    </x:row>
    <x:row r="241">
      <x:c r="A241" s="51" t="str">
        <x:v>MM.37.6</x:v>
      </x:c>
      <x:c r="B241" s="51" t="str">
        <x:v>MM.37</x:v>
      </x:c>
      <x:c r="C241" s="59" t="b">
        <x:v>0</x:v>
      </x:c>
      <x:c r="D241" s="51" t="str">
        <x:v>Medications are administered after visual inspection for discoloration, particulate, or other clues of loss of integrity or instability.</x:v>
      </x:c>
      <x:c r="E241" s="51" t="str"/>
      <x:c r="F241" s="51" t="n">
        <x:v>0</x:v>
      </x:c>
      <x:c r="G241" s="51" t="n">
        <x:v>0</x:v>
      </x:c>
      <x:c r="H241" s="51" t="n">
        <x:v>0</x:v>
      </x:c>
      <x:c r="I241" s="51" t="str">
        <x:v>Missing</x:v>
      </x:c>
      <x:c r="J241" s="51" t="n">
        <x:v>0</x:v>
      </x:c>
      <x:c r="K241" s="51" t="n">
        <x:v>0</x:v>
      </x:c>
      <x:c r="L241" s="51" t="n">
        <x:f>MIN(100,IF(C241,20,0)+F241*45+G241*30+H241*15+IF(I241="CriticalBlocked",30,IF(I241="Blocked",20,IF(I241="Missing",20,IF(I241="Partial",10,0))))+J241*20+K241*10)</x:f>
        <x:v>20</x:v>
      </x:c>
      <x:c r="M241" s="51" t="str">
        <x:f>IF(L241&gt;=75,"Critical",IF(L241&gt;=50,"High",IF(L241&gt;=25,"Moderate","Low")))</x:f>
        <x:v>Low</x:v>
      </x:c>
      <x:c r="N241" s="51" t="str">
        <x:v>Unreviewed</x:v>
      </x:c>
      <x:c r="O241" s="51" t="str"/>
      <x:c r="P241" s="51" t="str"/>
      <x:c r="Q241" s="49"/>
      <x:c r="R241" s="49"/>
      <x:c r="S241" s="49"/>
      <x:c r="T241" s="49"/>
      <x:c r="U241" s="49"/>
      <x:c r="V241" s="49"/>
      <x:c r="W241" s="49"/>
      <x:c r="X241" s="49"/>
      <x:c r="Y241" s="49"/>
      <x:c r="Z241" s="49"/>
    </x:row>
    <x:row r="242">
      <x:c r="A242" s="51" t="str">
        <x:v>MM.37.7</x:v>
      </x:c>
      <x:c r="B242" s="51" t="str">
        <x:v>MM.37</x:v>
      </x:c>
      <x:c r="C242" s="59" t="b">
        <x:v>0</x:v>
      </x:c>
      <x:c r="D242" s="51" t="str">
        <x:v>Medications are administered after verifying that there are no contraindications.</x:v>
      </x:c>
      <x:c r="E242" s="51" t="str"/>
      <x:c r="F242" s="51" t="n">
        <x:v>0</x:v>
      </x:c>
      <x:c r="G242" s="51" t="n">
        <x:v>0</x:v>
      </x:c>
      <x:c r="H242" s="51" t="n">
        <x:v>0</x:v>
      </x:c>
      <x:c r="I242" s="51" t="str">
        <x:v>Missing</x:v>
      </x:c>
      <x:c r="J242" s="51" t="n">
        <x:v>0</x:v>
      </x:c>
      <x:c r="K242" s="51" t="n">
        <x:v>0</x:v>
      </x:c>
      <x:c r="L242" s="51" t="n">
        <x:f>MIN(100,IF(C242,20,0)+F242*45+G242*30+H242*15+IF(I242="CriticalBlocked",30,IF(I242="Blocked",20,IF(I242="Missing",20,IF(I242="Partial",10,0))))+J242*20+K242*10)</x:f>
        <x:v>20</x:v>
      </x:c>
      <x:c r="M242" s="51" t="str">
        <x:f>IF(L242&gt;=75,"Critical",IF(L242&gt;=50,"High",IF(L242&gt;=25,"Moderate","Low")))</x:f>
        <x:v>Low</x:v>
      </x:c>
      <x:c r="N242" s="51" t="str">
        <x:v>Unreviewed</x:v>
      </x:c>
      <x:c r="O242" s="51" t="str"/>
      <x:c r="P242" s="51" t="str"/>
      <x:c r="Q242" s="49"/>
      <x:c r="R242" s="49"/>
      <x:c r="S242" s="49"/>
      <x:c r="T242" s="49"/>
      <x:c r="U242" s="49"/>
      <x:c r="V242" s="49"/>
      <x:c r="W242" s="49"/>
      <x:c r="X242" s="49"/>
      <x:c r="Y242" s="49"/>
      <x:c r="Z242" s="49"/>
    </x:row>
    <x:row r="243">
      <x:c r="A243" s="51" t="str">
        <x:v>MM.38.1</x:v>
      </x:c>
      <x:c r="B243" s="51" t="str">
        <x:v>MM.38</x:v>
      </x:c>
      <x:c r="C243" s="59" t="b">
        <x:v>0</x:v>
      </x:c>
      <x:c r="D243" s="51" t="str">
        <x:v>The hospital educates patients and families involved in self-administration of medications about: MM.38.1.1 Medication name, type, and indication. MM.38.1.2 Time, frequency, route, and dose of medication. MM.38.1.3 Expected medication effect and potential side effects. MM.38.1.4 Monitoring and reporting of medication effects.</x:v>
      </x:c>
      <x:c r="E243" s="51" t="str"/>
      <x:c r="F243" s="51" t="n">
        <x:v>0</x:v>
      </x:c>
      <x:c r="G243" s="51" t="n">
        <x:v>0</x:v>
      </x:c>
      <x:c r="H243" s="51" t="n">
        <x:v>0</x:v>
      </x:c>
      <x:c r="I243" s="51" t="str">
        <x:v>Missing</x:v>
      </x:c>
      <x:c r="J243" s="51" t="n">
        <x:v>0</x:v>
      </x:c>
      <x:c r="K243" s="51" t="n">
        <x:v>0</x:v>
      </x:c>
      <x:c r="L243" s="51" t="n">
        <x:f>MIN(100,IF(C243,20,0)+F243*45+G243*30+H243*15+IF(I243="CriticalBlocked",30,IF(I243="Blocked",20,IF(I243="Missing",20,IF(I243="Partial",10,0))))+J243*20+K243*10)</x:f>
        <x:v>20</x:v>
      </x:c>
      <x:c r="M243" s="51" t="str">
        <x:f>IF(L243&gt;=75,"Critical",IF(L243&gt;=50,"High",IF(L243&gt;=25,"Moderate","Low")))</x:f>
        <x:v>Low</x:v>
      </x:c>
      <x:c r="N243" s="51" t="str">
        <x:v>Unreviewed</x:v>
      </x:c>
      <x:c r="O243" s="51" t="str"/>
      <x:c r="P243" s="51" t="str"/>
      <x:c r="Q243" s="49"/>
      <x:c r="R243" s="49"/>
      <x:c r="S243" s="49"/>
      <x:c r="T243" s="49"/>
      <x:c r="U243" s="49"/>
      <x:c r="V243" s="49"/>
      <x:c r="W243" s="49"/>
      <x:c r="X243" s="49"/>
      <x:c r="Y243" s="49"/>
      <x:c r="Z243" s="49"/>
    </x:row>
    <x:row r="244">
      <x:c r="A244" s="51" t="str">
        <x:v>MM.38.2</x:v>
      </x:c>
      <x:c r="B244" s="51" t="str">
        <x:v>MM.38</x:v>
      </x:c>
      <x:c r="C244" s="59" t="b">
        <x:v>0</x:v>
      </x:c>
      <x:c r="D244" s="51" t="str">
        <x:v>The hospital does not allow administration of any medication brought from outside the hospital unless prescribed by the treating physician.</x:v>
      </x:c>
      <x:c r="E244" s="51" t="str"/>
      <x:c r="F244" s="51" t="n">
        <x:v>0</x:v>
      </x:c>
      <x:c r="G244" s="51" t="n">
        <x:v>0</x:v>
      </x:c>
      <x:c r="H244" s="51" t="n">
        <x:v>0</x:v>
      </x:c>
      <x:c r="I244" s="51" t="str">
        <x:v>Missing</x:v>
      </x:c>
      <x:c r="J244" s="51" t="n">
        <x:v>0</x:v>
      </x:c>
      <x:c r="K244" s="51" t="n">
        <x:v>0</x:v>
      </x:c>
      <x:c r="L244" s="51" t="n">
        <x:f>MIN(100,IF(C244,20,0)+F244*45+G244*30+H244*15+IF(I244="CriticalBlocked",30,IF(I244="Blocked",20,IF(I244="Missing",20,IF(I244="Partial",10,0))))+J244*20+K244*10)</x:f>
        <x:v>20</x:v>
      </x:c>
      <x:c r="M244" s="51" t="str">
        <x:f>IF(L244&gt;=75,"Critical",IF(L244&gt;=50,"High",IF(L244&gt;=25,"Moderate","Low")))</x:f>
        <x:v>Low</x:v>
      </x:c>
      <x:c r="N244" s="51" t="str">
        <x:v>Unreviewed</x:v>
      </x:c>
      <x:c r="O244" s="51" t="str"/>
      <x:c r="P244" s="51" t="str"/>
      <x:c r="Q244" s="49"/>
      <x:c r="R244" s="49"/>
      <x:c r="S244" s="49"/>
      <x:c r="T244" s="49"/>
      <x:c r="U244" s="49"/>
      <x:c r="V244" s="49"/>
      <x:c r="W244" s="49"/>
      <x:c r="X244" s="49"/>
      <x:c r="Y244" s="49"/>
      <x:c r="Z244" s="49"/>
    </x:row>
    <x:row r="245">
      <x:c r="A245" s="51" t="str">
        <x:v>MM.38.3</x:v>
      </x:c>
      <x:c r="B245" s="51" t="str">
        <x:v>MM.38</x:v>
      </x:c>
      <x:c r="C245" s="59" t="b">
        <x:v>0</x:v>
      </x:c>
      <x:c r="D245" s="51" t="str">
        <x:v>The hospital does not allow administration of free medical samples.</x:v>
      </x:c>
      <x:c r="E245" s="51" t="str"/>
      <x:c r="F245" s="51" t="n">
        <x:v>0</x:v>
      </x:c>
      <x:c r="G245" s="51" t="n">
        <x:v>0</x:v>
      </x:c>
      <x:c r="H245" s="51" t="n">
        <x:v>0</x:v>
      </x:c>
      <x:c r="I245" s="51" t="str">
        <x:v>Missing</x:v>
      </x:c>
      <x:c r="J245" s="51" t="n">
        <x:v>0</x:v>
      </x:c>
      <x:c r="K245" s="51" t="n">
        <x:v>0</x:v>
      </x:c>
      <x:c r="L245" s="51" t="n">
        <x:f>MIN(100,IF(C245,20,0)+F245*45+G245*30+H245*15+IF(I245="CriticalBlocked",30,IF(I245="Blocked",20,IF(I245="Missing",20,IF(I245="Partial",10,0))))+J245*20+K245*10)</x:f>
        <x:v>20</x:v>
      </x:c>
      <x:c r="M245" s="51" t="str">
        <x:f>IF(L245&gt;=75,"Critical",IF(L245&gt;=50,"High",IF(L245&gt;=25,"Moderate","Low")))</x:f>
        <x:v>Low</x:v>
      </x:c>
      <x:c r="N245" s="51" t="str">
        <x:v>Unreviewed</x:v>
      </x:c>
      <x:c r="O245" s="51" t="str"/>
      <x:c r="P245" s="51" t="str"/>
      <x:c r="Q245" s="49"/>
      <x:c r="R245" s="49"/>
      <x:c r="S245" s="49"/>
      <x:c r="T245" s="49"/>
      <x:c r="U245" s="49"/>
      <x:c r="V245" s="49"/>
      <x:c r="W245" s="49"/>
      <x:c r="X245" s="49"/>
      <x:c r="Y245" s="49"/>
      <x:c r="Z245" s="49"/>
    </x:row>
    <x:row r="246">
      <x:c r="A246" s="51" t="str">
        <x:v>MM.39.1</x:v>
      </x:c>
      <x:c r="B246" s="51" t="str">
        <x:v>MM.39</x:v>
      </x:c>
      <x:c r="C246" s="59" t="b">
        <x:v>0</x:v>
      </x:c>
      <x:c r="D246" s="51" t="str">
        <x:v>There is a multidisciplinary policy and procedure on monitoring the patient response to medications</x:v>
      </x:c>
      <x:c r="E246" s="51" t="str"/>
      <x:c r="F246" s="51" t="n">
        <x:v>0</x:v>
      </x:c>
      <x:c r="G246" s="51" t="n">
        <x:v>0</x:v>
      </x:c>
      <x:c r="H246" s="51" t="n">
        <x:v>0</x:v>
      </x:c>
      <x:c r="I246" s="51" t="str">
        <x:v>Missing</x:v>
      </x:c>
      <x:c r="J246" s="51" t="n">
        <x:v>0</x:v>
      </x:c>
      <x:c r="K246" s="51" t="n">
        <x:v>0</x:v>
      </x:c>
      <x:c r="L246" s="51" t="n">
        <x:f>MIN(100,IF(C246,20,0)+F246*45+G246*30+H246*15+IF(I246="CriticalBlocked",30,IF(I246="Blocked",20,IF(I246="Missing",20,IF(I246="Partial",10,0))))+J246*20+K246*10)</x:f>
        <x:v>20</x:v>
      </x:c>
      <x:c r="M246" s="51" t="str">
        <x:f>IF(L246&gt;=75,"Critical",IF(L246&gt;=50,"High",IF(L246&gt;=25,"Moderate","Low")))</x:f>
        <x:v>Low</x:v>
      </x:c>
      <x:c r="N246" s="51" t="str">
        <x:v>Unreviewed</x:v>
      </x:c>
      <x:c r="O246" s="51" t="str"/>
      <x:c r="P246" s="51" t="str"/>
      <x:c r="Q246" s="49"/>
      <x:c r="R246" s="49"/>
      <x:c r="S246" s="49"/>
      <x:c r="T246" s="49"/>
      <x:c r="U246" s="49"/>
      <x:c r="V246" s="49"/>
      <x:c r="W246" s="49"/>
      <x:c r="X246" s="49"/>
      <x:c r="Y246" s="49"/>
      <x:c r="Z246" s="49"/>
    </x:row>
    <x:row r="247">
      <x:c r="A247" s="51" t="str">
        <x:v>MM.39.2</x:v>
      </x:c>
      <x:c r="B247" s="51" t="str">
        <x:v>MM.39</x:v>
      </x:c>
      <x:c r="C247" s="59" t="b">
        <x:v>0</x:v>
      </x:c>
      <x:c r="D247" s="51" t="str">
        <x:v>There is an annually updated list of all formulary medications that cause changes in the patient’s equilibrium and may raise the risk of falls.</x:v>
      </x:c>
      <x:c r="E247" s="51" t="str"/>
      <x:c r="F247" s="51" t="n">
        <x:v>0</x:v>
      </x:c>
      <x:c r="G247" s="51" t="n">
        <x:v>0</x:v>
      </x:c>
      <x:c r="H247" s="51" t="n">
        <x:v>0</x:v>
      </x:c>
      <x:c r="I247" s="51" t="str">
        <x:v>Missing</x:v>
      </x:c>
      <x:c r="J247" s="51" t="n">
        <x:v>0</x:v>
      </x:c>
      <x:c r="K247" s="51" t="n">
        <x:v>0</x:v>
      </x:c>
      <x:c r="L247" s="51" t="n">
        <x:f>MIN(100,IF(C247,20,0)+F247*45+G247*30+H247*15+IF(I247="CriticalBlocked",30,IF(I247="Blocked",20,IF(I247="Missing",20,IF(I247="Partial",10,0))))+J247*20+K247*10)</x:f>
        <x:v>20</x:v>
      </x:c>
      <x:c r="M247" s="51" t="str">
        <x:f>IF(L247&gt;=75,"Critical",IF(L247&gt;=50,"High",IF(L247&gt;=25,"Moderate","Low")))</x:f>
        <x:v>Low</x:v>
      </x:c>
      <x:c r="N247" s="51" t="str">
        <x:v>Unreviewed</x:v>
      </x:c>
      <x:c r="O247" s="51" t="str"/>
      <x:c r="P247" s="51" t="str"/>
      <x:c r="Q247" s="49"/>
      <x:c r="R247" s="49"/>
      <x:c r="S247" s="49"/>
      <x:c r="T247" s="49"/>
      <x:c r="U247" s="49"/>
      <x:c r="V247" s="49"/>
      <x:c r="W247" s="49"/>
      <x:c r="X247" s="49"/>
      <x:c r="Y247" s="49"/>
      <x:c r="Z247" s="49"/>
    </x:row>
    <x:row r="248">
      <x:c r="A248" s="51" t="str">
        <x:v>MM.39.3</x:v>
      </x:c>
      <x:c r="B248" s="51" t="str">
        <x:v>MM.39</x:v>
      </x:c>
      <x:c r="C248" s="59" t="b">
        <x:v>0</x:v>
      </x:c>
      <x:c r="D248" s="51" t="str">
        <x:v>The hospital has a collaborative process, involving physicians, nurses, and pharmacists, to monitor the patient’s response to medications.</x:v>
      </x:c>
      <x:c r="E248" s="51" t="str"/>
      <x:c r="F248" s="51" t="n">
        <x:v>0</x:v>
      </x:c>
      <x:c r="G248" s="51" t="n">
        <x:v>0</x:v>
      </x:c>
      <x:c r="H248" s="51" t="n">
        <x:v>0</x:v>
      </x:c>
      <x:c r="I248" s="51" t="str">
        <x:v>Missing</x:v>
      </x:c>
      <x:c r="J248" s="51" t="n">
        <x:v>0</x:v>
      </x:c>
      <x:c r="K248" s="51" t="n">
        <x:v>0</x:v>
      </x:c>
      <x:c r="L248" s="51" t="n">
        <x:f>MIN(100,IF(C248,20,0)+F248*45+G248*30+H248*15+IF(I248="CriticalBlocked",30,IF(I248="Blocked",20,IF(I248="Missing",20,IF(I248="Partial",10,0))))+J248*20+K248*10)</x:f>
        <x:v>20</x:v>
      </x:c>
      <x:c r="M248" s="51" t="str">
        <x:f>IF(L248&gt;=75,"Critical",IF(L248&gt;=50,"High",IF(L248&gt;=25,"Moderate","Low")))</x:f>
        <x:v>Low</x:v>
      </x:c>
      <x:c r="N248" s="51" t="str">
        <x:v>Unreviewed</x:v>
      </x:c>
      <x:c r="O248" s="51" t="str"/>
      <x:c r="P248" s="51" t="str"/>
      <x:c r="Q248" s="49"/>
      <x:c r="R248" s="49"/>
      <x:c r="S248" s="49"/>
      <x:c r="T248" s="49"/>
      <x:c r="U248" s="49"/>
      <x:c r="V248" s="49"/>
      <x:c r="W248" s="49"/>
      <x:c r="X248" s="49"/>
      <x:c r="Y248" s="49"/>
      <x:c r="Z248" s="49"/>
    </x:row>
    <x:row r="249">
      <x:c r="A249" s="51" t="str">
        <x:v>MM.39.4</x:v>
      </x:c>
      <x:c r="B249" s="51" t="str">
        <x:v>MM.39</x:v>
      </x:c>
      <x:c r="C249" s="59" t="b">
        <x:v>0</x:v>
      </x:c>
      <x:c r="D249" s="51" t="str">
        <x:v>Monitoring includes the following: MM.39.4.1 The medication’s effect on patient’s clinical condition, as well as blood count, liver and renal functions and other relevant therapeutic monitoring parameters... MM.39.4.2 The patient’s perception of side effects to the first dose of a new medication MM.39.4.3 Unanticipated drug-drug interactions MM.39.4.4 Changes in the patient’s equilibrium that may raise the risk of falls MM.39.4.5 Allergic reactions including documentation and flagging of medical records.</x:v>
      </x:c>
      <x:c r="E249" s="51" t="str"/>
      <x:c r="F249" s="51" t="n">
        <x:v>0</x:v>
      </x:c>
      <x:c r="G249" s="51" t="n">
        <x:v>0</x:v>
      </x:c>
      <x:c r="H249" s="51" t="n">
        <x:v>0</x:v>
      </x:c>
      <x:c r="I249" s="51" t="str">
        <x:v>Missing</x:v>
      </x:c>
      <x:c r="J249" s="51" t="n">
        <x:v>0</x:v>
      </x:c>
      <x:c r="K249" s="51" t="n">
        <x:v>0</x:v>
      </x:c>
      <x:c r="L249" s="51" t="n">
        <x:f>MIN(100,IF(C249,20,0)+F249*45+G249*30+H249*15+IF(I249="CriticalBlocked",30,IF(I249="Blocked",20,IF(I249="Missing",20,IF(I249="Partial",10,0))))+J249*20+K249*10)</x:f>
        <x:v>20</x:v>
      </x:c>
      <x:c r="M249" s="51" t="str">
        <x:f>IF(L249&gt;=75,"Critical",IF(L249&gt;=50,"High",IF(L249&gt;=25,"Moderate","Low")))</x:f>
        <x:v>Low</x:v>
      </x:c>
      <x:c r="N249" s="51" t="str">
        <x:v>Unreviewed</x:v>
      </x:c>
      <x:c r="O249" s="51" t="str"/>
      <x:c r="P249" s="51" t="str"/>
      <x:c r="Q249" s="49"/>
      <x:c r="R249" s="49"/>
      <x:c r="S249" s="49"/>
      <x:c r="T249" s="49"/>
      <x:c r="U249" s="49"/>
      <x:c r="V249" s="49"/>
      <x:c r="W249" s="49"/>
      <x:c r="X249" s="49"/>
      <x:c r="Y249" s="49"/>
      <x:c r="Z249" s="49"/>
    </x:row>
    <x:row r="250">
      <x:c r="A250" s="51" t="str">
        <x:v>MM.40.1</x:v>
      </x:c>
      <x:c r="B250" s="51" t="str">
        <x:v>MM.40</x:v>
      </x:c>
      <x:c r="C250" s="59" t="b">
        <x:v>0</x:v>
      </x:c>
      <x:c r="D250" s="51" t="str">
        <x:v>The hospital has a multidisciplinary policy and procedure on handling Adverse rug Reaction (ADR) reports.</x:v>
      </x:c>
      <x:c r="E250" s="51" t="str"/>
      <x:c r="F250" s="51" t="n">
        <x:v>0</x:v>
      </x:c>
      <x:c r="G250" s="51" t="n">
        <x:v>0</x:v>
      </x:c>
      <x:c r="H250" s="51" t="n">
        <x:v>0</x:v>
      </x:c>
      <x:c r="I250" s="51" t="str">
        <x:v>Missing</x:v>
      </x:c>
      <x:c r="J250" s="51" t="n">
        <x:v>0</x:v>
      </x:c>
      <x:c r="K250" s="51" t="n">
        <x:v>0</x:v>
      </x:c>
      <x:c r="L250" s="51" t="n">
        <x:f>MIN(100,IF(C250,20,0)+F250*45+G250*30+H250*15+IF(I250="CriticalBlocked",30,IF(I250="Blocked",20,IF(I250="Missing",20,IF(I250="Partial",10,0))))+J250*20+K250*10)</x:f>
        <x:v>20</x:v>
      </x:c>
      <x:c r="M250" s="51" t="str">
        <x:f>IF(L250&gt;=75,"Critical",IF(L250&gt;=50,"High",IF(L250&gt;=25,"Moderate","Low")))</x:f>
        <x:v>Low</x:v>
      </x:c>
      <x:c r="N250" s="51" t="str">
        <x:v>Unreviewed</x:v>
      </x:c>
      <x:c r="O250" s="51" t="str"/>
      <x:c r="P250" s="51" t="str"/>
      <x:c r="Q250" s="49"/>
      <x:c r="R250" s="49"/>
      <x:c r="S250" s="49"/>
      <x:c r="T250" s="49"/>
      <x:c r="U250" s="49"/>
      <x:c r="V250" s="49"/>
      <x:c r="W250" s="49"/>
      <x:c r="X250" s="49"/>
      <x:c r="Y250" s="49"/>
      <x:c r="Z250" s="49"/>
    </x:row>
    <x:row r="251">
      <x:c r="A251" s="51" t="str">
        <x:v>MM.40.2</x:v>
      </x:c>
      <x:c r="B251" s="51" t="str">
        <x:v>MM.40</x:v>
      </x:c>
      <x:c r="C251" s="59" t="b">
        <x:v>0</x:v>
      </x:c>
      <x:c r="D251" s="51" t="str">
        <x:v>The policy has a clear definition of ADR and its severity.</x:v>
      </x:c>
      <x:c r="E251" s="51" t="str"/>
      <x:c r="F251" s="51" t="n">
        <x:v>0</x:v>
      </x:c>
      <x:c r="G251" s="51" t="n">
        <x:v>0</x:v>
      </x:c>
      <x:c r="H251" s="51" t="n">
        <x:v>0</x:v>
      </x:c>
      <x:c r="I251" s="51" t="str">
        <x:v>Missing</x:v>
      </x:c>
      <x:c r="J251" s="51" t="n">
        <x:v>0</x:v>
      </x:c>
      <x:c r="K251" s="51" t="n">
        <x:v>0</x:v>
      </x:c>
      <x:c r="L251" s="51" t="n">
        <x:f>MIN(100,IF(C251,20,0)+F251*45+G251*30+H251*15+IF(I251="CriticalBlocked",30,IF(I251="Blocked",20,IF(I251="Missing",20,IF(I251="Partial",10,0))))+J251*20+K251*10)</x:f>
        <x:v>20</x:v>
      </x:c>
      <x:c r="M251" s="51" t="str">
        <x:f>IF(L251&gt;=75,"Critical",IF(L251&gt;=50,"High",IF(L251&gt;=25,"Moderate","Low")))</x:f>
        <x:v>Low</x:v>
      </x:c>
      <x:c r="N251" s="51" t="str">
        <x:v>Unreviewed</x:v>
      </x:c>
      <x:c r="O251" s="51" t="str"/>
      <x:c r="P251" s="51" t="str"/>
      <x:c r="Q251" s="49"/>
      <x:c r="R251" s="49"/>
      <x:c r="S251" s="49"/>
      <x:c r="T251" s="49"/>
      <x:c r="U251" s="49"/>
      <x:c r="V251" s="49"/>
      <x:c r="W251" s="49"/>
      <x:c r="X251" s="49"/>
      <x:c r="Y251" s="49"/>
      <x:c r="Z251" s="49"/>
    </x:row>
    <x:row r="252">
      <x:c r="A252" s="51" t="str">
        <x:v>MM.40.3</x:v>
      </x:c>
      <x:c r="B252" s="51" t="str">
        <x:v>MM.40</x:v>
      </x:c>
      <x:c r="C252" s="59" t="b">
        <x:v>0</x:v>
      </x:c>
      <x:c r="D252" s="51" t="str">
        <x:v>The treating physician is notified at the appropriate time.</x:v>
      </x:c>
      <x:c r="E252" s="51" t="str"/>
      <x:c r="F252" s="51" t="n">
        <x:v>0</x:v>
      </x:c>
      <x:c r="G252" s="51" t="n">
        <x:v>0</x:v>
      </x:c>
      <x:c r="H252" s="51" t="n">
        <x:v>0</x:v>
      </x:c>
      <x:c r="I252" s="51" t="str">
        <x:v>Missing</x:v>
      </x:c>
      <x:c r="J252" s="51" t="n">
        <x:v>0</x:v>
      </x:c>
      <x:c r="K252" s="51" t="n">
        <x:v>0</x:v>
      </x:c>
      <x:c r="L252" s="51" t="n">
        <x:f>MIN(100,IF(C252,20,0)+F252*45+G252*30+H252*15+IF(I252="CriticalBlocked",30,IF(I252="Blocked",20,IF(I252="Missing",20,IF(I252="Partial",10,0))))+J252*20+K252*10)</x:f>
        <x:v>20</x:v>
      </x:c>
      <x:c r="M252" s="51" t="str">
        <x:f>IF(L252&gt;=75,"Critical",IF(L252&gt;=50,"High",IF(L252&gt;=25,"Moderate","Low")))</x:f>
        <x:v>Low</x:v>
      </x:c>
      <x:c r="N252" s="51" t="str">
        <x:v>Unreviewed</x:v>
      </x:c>
      <x:c r="O252" s="51" t="str"/>
      <x:c r="P252" s="51" t="str"/>
      <x:c r="Q252" s="49"/>
      <x:c r="R252" s="49"/>
      <x:c r="S252" s="49"/>
      <x:c r="T252" s="49"/>
      <x:c r="U252" s="49"/>
      <x:c r="V252" s="49"/>
      <x:c r="W252" s="49"/>
      <x:c r="X252" s="49"/>
      <x:c r="Y252" s="49"/>
      <x:c r="Z252" s="49"/>
    </x:row>
    <x:row r="253">
      <x:c r="A253" s="51" t="str">
        <x:v>MM.40.4</x:v>
      </x:c>
      <x:c r="B253" s="51" t="str">
        <x:v>MM.40</x:v>
      </x:c>
      <x:c r="C253" s="59" t="b">
        <x:v>0</x:v>
      </x:c>
      <x:c r="D253" s="51" t="str">
        <x:v>The patient affected by ADR receives appropriate care at the appropriate time.</x:v>
      </x:c>
      <x:c r="E253" s="51" t="str"/>
      <x:c r="F253" s="51" t="n">
        <x:v>0</x:v>
      </x:c>
      <x:c r="G253" s="51" t="n">
        <x:v>0</x:v>
      </x:c>
      <x:c r="H253" s="51" t="n">
        <x:v>0</x:v>
      </x:c>
      <x:c r="I253" s="51" t="str">
        <x:v>Missing</x:v>
      </x:c>
      <x:c r="J253" s="51" t="n">
        <x:v>0</x:v>
      </x:c>
      <x:c r="K253" s="51" t="n">
        <x:v>0</x:v>
      </x:c>
      <x:c r="L253" s="51" t="n">
        <x:f>MIN(100,IF(C253,20,0)+F253*45+G253*30+H253*15+IF(I253="CriticalBlocked",30,IF(I253="Blocked",20,IF(I253="Missing",20,IF(I253="Partial",10,0))))+J253*20+K253*10)</x:f>
        <x:v>20</x:v>
      </x:c>
      <x:c r="M253" s="51" t="str">
        <x:f>IF(L253&gt;=75,"Critical",IF(L253&gt;=50,"High",IF(L253&gt;=25,"Moderate","Low")))</x:f>
        <x:v>Low</x:v>
      </x:c>
      <x:c r="N253" s="51" t="str">
        <x:v>Unreviewed</x:v>
      </x:c>
      <x:c r="O253" s="51" t="str"/>
      <x:c r="P253" s="51" t="str"/>
      <x:c r="Q253" s="49"/>
      <x:c r="R253" s="49"/>
      <x:c r="S253" s="49"/>
      <x:c r="T253" s="49"/>
      <x:c r="U253" s="49"/>
      <x:c r="V253" s="49"/>
      <x:c r="W253" s="49"/>
      <x:c r="X253" s="49"/>
      <x:c r="Y253" s="49"/>
      <x:c r="Z253" s="49"/>
    </x:row>
    <x:row r="254">
      <x:c r="A254" s="51" t="str">
        <x:v>MM.40.5</x:v>
      </x:c>
      <x:c r="B254" s="51" t="str">
        <x:v>MM.40</x:v>
      </x:c>
      <x:c r="C254" s="59" t="b">
        <x:v>0</x:v>
      </x:c>
      <x:c r="D254" s="51" t="str">
        <x:v>The ADR report forms are readily available and in use.</x:v>
      </x:c>
      <x:c r="E254" s="51" t="str"/>
      <x:c r="F254" s="51" t="n">
        <x:v>0</x:v>
      </x:c>
      <x:c r="G254" s="51" t="n">
        <x:v>0</x:v>
      </x:c>
      <x:c r="H254" s="51" t="n">
        <x:v>0</x:v>
      </x:c>
      <x:c r="I254" s="51" t="str">
        <x:v>Missing</x:v>
      </x:c>
      <x:c r="J254" s="51" t="n">
        <x:v>0</x:v>
      </x:c>
      <x:c r="K254" s="51" t="n">
        <x:v>0</x:v>
      </x:c>
      <x:c r="L254" s="51" t="n">
        <x:f>MIN(100,IF(C254,20,0)+F254*45+G254*30+H254*15+IF(I254="CriticalBlocked",30,IF(I254="Blocked",20,IF(I254="Missing",20,IF(I254="Partial",10,0))))+J254*20+K254*10)</x:f>
        <x:v>20</x:v>
      </x:c>
      <x:c r="M254" s="51" t="str">
        <x:f>IF(L254&gt;=75,"Critical",IF(L254&gt;=50,"High",IF(L254&gt;=25,"Moderate","Low")))</x:f>
        <x:v>Low</x:v>
      </x:c>
      <x:c r="N254" s="51" t="str">
        <x:v>Unreviewed</x:v>
      </x:c>
      <x:c r="O254" s="51" t="str"/>
      <x:c r="P254" s="51" t="str"/>
      <x:c r="Q254" s="49"/>
      <x:c r="R254" s="49"/>
      <x:c r="S254" s="49"/>
      <x:c r="T254" s="49"/>
      <x:c r="U254" s="49"/>
      <x:c r="V254" s="49"/>
      <x:c r="W254" s="49"/>
      <x:c r="X254" s="49"/>
      <x:c r="Y254" s="49"/>
      <x:c r="Z254" s="49"/>
    </x:row>
    <x:row r="255">
      <x:c r="A255" s="51" t="str">
        <x:v>MM.40.6</x:v>
      </x:c>
      <x:c r="B255" s="51" t="str">
        <x:v>MM.40</x:v>
      </x:c>
      <x:c r="C255" s="59" t="b">
        <x:v>0</x:v>
      </x:c>
      <x:c r="D255" s="51" t="str">
        <x:v>All ADRs are documented in the patient’s medical record.</x:v>
      </x:c>
      <x:c r="E255" s="51" t="str"/>
      <x:c r="F255" s="51" t="n">
        <x:v>0</x:v>
      </x:c>
      <x:c r="G255" s="51" t="n">
        <x:v>0</x:v>
      </x:c>
      <x:c r="H255" s="51" t="n">
        <x:v>0</x:v>
      </x:c>
      <x:c r="I255" s="51" t="str">
        <x:v>Missing</x:v>
      </x:c>
      <x:c r="J255" s="51" t="n">
        <x:v>0</x:v>
      </x:c>
      <x:c r="K255" s="51" t="n">
        <x:v>0</x:v>
      </x:c>
      <x:c r="L255" s="51" t="n">
        <x:f>MIN(100,IF(C255,20,0)+F255*45+G255*30+H255*15+IF(I255="CriticalBlocked",30,IF(I255="Blocked",20,IF(I255="Missing",20,IF(I255="Partial",10,0))))+J255*20+K255*10)</x:f>
        <x:v>20</x:v>
      </x:c>
      <x:c r="M255" s="51" t="str">
        <x:f>IF(L255&gt;=75,"Critical",IF(L255&gt;=50,"High",IF(L255&gt;=25,"Moderate","Low")))</x:f>
        <x:v>Low</x:v>
      </x:c>
      <x:c r="N255" s="51" t="str">
        <x:v>Unreviewed</x:v>
      </x:c>
      <x:c r="O255" s="51" t="str"/>
      <x:c r="P255" s="51" t="str"/>
      <x:c r="Q255" s="49"/>
      <x:c r="R255" s="49"/>
      <x:c r="S255" s="49"/>
      <x:c r="T255" s="49"/>
      <x:c r="U255" s="49"/>
      <x:c r="V255" s="49"/>
      <x:c r="W255" s="49"/>
      <x:c r="X255" s="49"/>
      <x:c r="Y255" s="49"/>
      <x:c r="Z255" s="49"/>
    </x:row>
    <x:row r="256">
      <x:c r="A256" s="51" t="str">
        <x:v>MM.40.7</x:v>
      </x:c>
      <x:c r="B256" s="51" t="str">
        <x:v>MM.40</x:v>
      </x:c>
      <x:c r="C256" s="59" t="b">
        <x:v>0</x:v>
      </x:c>
      <x:c r="D256" s="51" t="str">
        <x:v>The hospital conducts analysis of all significant and serious ADRs.</x:v>
      </x:c>
      <x:c r="E256" s="51" t="str"/>
      <x:c r="F256" s="51" t="n">
        <x:v>0</x:v>
      </x:c>
      <x:c r="G256" s="51" t="n">
        <x:v>0</x:v>
      </x:c>
      <x:c r="H256" s="51" t="n">
        <x:v>0</x:v>
      </x:c>
      <x:c r="I256" s="51" t="str">
        <x:v>Missing</x:v>
      </x:c>
      <x:c r="J256" s="51" t="n">
        <x:v>0</x:v>
      </x:c>
      <x:c r="K256" s="51" t="n">
        <x:v>0</x:v>
      </x:c>
      <x:c r="L256" s="51" t="n">
        <x:f>MIN(100,IF(C256,20,0)+F256*45+G256*30+H256*15+IF(I256="CriticalBlocked",30,IF(I256="Blocked",20,IF(I256="Missing",20,IF(I256="Partial",10,0))))+J256*20+K256*10)</x:f>
        <x:v>20</x:v>
      </x:c>
      <x:c r="M256" s="51" t="str">
        <x:f>IF(L256&gt;=75,"Critical",IF(L256&gt;=50,"High",IF(L256&gt;=25,"Moderate","Low")))</x:f>
        <x:v>Low</x:v>
      </x:c>
      <x:c r="N256" s="51" t="str">
        <x:v>Unreviewed</x:v>
      </x:c>
      <x:c r="O256" s="51" t="str"/>
      <x:c r="P256" s="51" t="str"/>
      <x:c r="Q256" s="49"/>
      <x:c r="R256" s="49"/>
      <x:c r="S256" s="49"/>
      <x:c r="T256" s="49"/>
      <x:c r="U256" s="49"/>
      <x:c r="V256" s="49"/>
      <x:c r="W256" s="49"/>
      <x:c r="X256" s="49"/>
      <x:c r="Y256" s="49"/>
      <x:c r="Z256" s="49"/>
    </x:row>
    <x:row r="257">
      <x:c r="A257" s="51" t="str">
        <x:v>MM.40.8</x:v>
      </x:c>
      <x:c r="B257" s="51" t="str">
        <x:v>MM.40</x:v>
      </x:c>
      <x:c r="C257" s="59" t="b">
        <x:v>0</x:v>
      </x:c>
      <x:c r="D257" s="51" t="str">
        <x:v>The hospital has a system for improving ADR reporting.</x:v>
      </x:c>
      <x:c r="E257" s="51" t="str"/>
      <x:c r="F257" s="51" t="n">
        <x:v>0</x:v>
      </x:c>
      <x:c r="G257" s="51" t="n">
        <x:v>0</x:v>
      </x:c>
      <x:c r="H257" s="51" t="n">
        <x:v>0</x:v>
      </x:c>
      <x:c r="I257" s="51" t="str">
        <x:v>Missing</x:v>
      </x:c>
      <x:c r="J257" s="51" t="n">
        <x:v>0</x:v>
      </x:c>
      <x:c r="K257" s="51" t="n">
        <x:v>0</x:v>
      </x:c>
      <x:c r="L257" s="51" t="n">
        <x:f>MIN(100,IF(C257,20,0)+F257*45+G257*30+H257*15+IF(I257="CriticalBlocked",30,IF(I257="Blocked",20,IF(I257="Missing",20,IF(I257="Partial",10,0))))+J257*20+K257*10)</x:f>
        <x:v>20</x:v>
      </x:c>
      <x:c r="M257" s="51" t="str">
        <x:f>IF(L257&gt;=75,"Critical",IF(L257&gt;=50,"High",IF(L257&gt;=25,"Moderate","Low")))</x:f>
        <x:v>Low</x:v>
      </x:c>
      <x:c r="N257" s="51" t="str">
        <x:v>Unreviewed</x:v>
      </x:c>
      <x:c r="O257" s="51" t="str"/>
      <x:c r="P257" s="51" t="str"/>
      <x:c r="Q257" s="49"/>
      <x:c r="R257" s="49"/>
      <x:c r="S257" s="49"/>
      <x:c r="T257" s="49"/>
      <x:c r="U257" s="49"/>
      <x:c r="V257" s="49"/>
      <x:c r="W257" s="49"/>
      <x:c r="X257" s="49"/>
      <x:c r="Y257" s="49"/>
      <x:c r="Z257" s="49"/>
    </x:row>
    <x:row r="258">
      <x:c r="A258" s="51" t="str">
        <x:v>MM.40.9</x:v>
      </x:c>
      <x:c r="B258" s="51" t="str">
        <x:v>MM.40</x:v>
      </x:c>
      <x:c r="C258" s="59" t="b">
        <x:v>0</x:v>
      </x:c>
      <x:c r="D258" s="51" t="str">
        <x:v>The hospital reports all serious or unexpected ADRs to the Saudi Food and Drug Authority.</x:v>
      </x:c>
      <x:c r="E258" s="51" t="str"/>
      <x:c r="F258" s="51" t="n">
        <x:v>0</x:v>
      </x:c>
      <x:c r="G258" s="51" t="n">
        <x:v>0</x:v>
      </x:c>
      <x:c r="H258" s="51" t="n">
        <x:v>0</x:v>
      </x:c>
      <x:c r="I258" s="51" t="str">
        <x:v>Missing</x:v>
      </x:c>
      <x:c r="J258" s="51" t="n">
        <x:v>0</x:v>
      </x:c>
      <x:c r="K258" s="51" t="n">
        <x:v>0</x:v>
      </x:c>
      <x:c r="L258" s="51" t="n">
        <x:f>MIN(100,IF(C258,20,0)+F258*45+G258*30+H258*15+IF(I258="CriticalBlocked",30,IF(I258="Blocked",20,IF(I258="Missing",20,IF(I258="Partial",10,0))))+J258*20+K258*10)</x:f>
        <x:v>20</x:v>
      </x:c>
      <x:c r="M258" s="51" t="str">
        <x:f>IF(L258&gt;=75,"Critical",IF(L258&gt;=50,"High",IF(L258&gt;=25,"Moderate","Low")))</x:f>
        <x:v>Low</x:v>
      </x:c>
      <x:c r="N258" s="51" t="str">
        <x:v>Unreviewed</x:v>
      </x:c>
      <x:c r="O258" s="51" t="str"/>
      <x:c r="P258" s="51" t="str"/>
      <x:c r="Q258" s="49"/>
      <x:c r="R258" s="49"/>
      <x:c r="S258" s="49"/>
      <x:c r="T258" s="49"/>
      <x:c r="U258" s="49"/>
      <x:c r="V258" s="49"/>
      <x:c r="W258" s="49"/>
      <x:c r="X258" s="49"/>
      <x:c r="Y258" s="49"/>
      <x:c r="Z258" s="49"/>
    </x:row>
    <x:row r="259">
      <x:c r="A259" s="51" t="str">
        <x:v>MM.41.1</x:v>
      </x:c>
      <x:c r="B259" s="51" t="str">
        <x:v>MM.41</x:v>
      </x:c>
      <x:c r="C259" s="59" t="b">
        <x:v>1</x:v>
      </x:c>
      <x:c r="D259" s="51" t="str">
        <x:v>There is a multidisciplinary policy and procedure on handling medication errors, near misses, and hazardous situations (e.g., confusion over look-alike/sound-alike drugs or similar packaging).</x:v>
      </x:c>
      <x:c r="E259" s="51" t="str"/>
      <x:c r="F259" s="51" t="n">
        <x:v>0</x:v>
      </x:c>
      <x:c r="G259" s="51" t="n">
        <x:v>0</x:v>
      </x:c>
      <x:c r="H259" s="51" t="n">
        <x:v>0</x:v>
      </x:c>
      <x:c r="I259" s="51" t="str">
        <x:v>Missing</x:v>
      </x:c>
      <x:c r="J259" s="51" t="n">
        <x:v>0</x:v>
      </x:c>
      <x:c r="K259" s="51" t="n">
        <x:v>0</x:v>
      </x:c>
      <x:c r="L259" s="51" t="n">
        <x:f>MIN(100,IF(C259,20,0)+F259*45+G259*30+H259*15+IF(I259="CriticalBlocked",30,IF(I259="Blocked",20,IF(I259="Missing",20,IF(I259="Partial",10,0))))+J259*20+K259*10)</x:f>
        <x:v>40</x:v>
      </x:c>
      <x:c r="M259" s="51" t="str">
        <x:f>IF(L259&gt;=75,"Critical",IF(L259&gt;=50,"High",IF(L259&gt;=25,"Moderate","Low")))</x:f>
        <x:v>Moderate</x:v>
      </x:c>
      <x:c r="N259" s="51" t="str">
        <x:v>Unreviewed</x:v>
      </x:c>
      <x:c r="O259" s="51" t="str"/>
      <x:c r="P259" s="51" t="str"/>
      <x:c r="Q259" s="49"/>
      <x:c r="R259" s="49"/>
      <x:c r="S259" s="49"/>
      <x:c r="T259" s="49"/>
      <x:c r="U259" s="49"/>
      <x:c r="V259" s="49"/>
      <x:c r="W259" s="49"/>
      <x:c r="X259" s="49"/>
      <x:c r="Y259" s="49"/>
      <x:c r="Z259" s="49"/>
    </x:row>
    <x:row r="260">
      <x:c r="A260" s="51" t="str">
        <x:v>MM.41.2</x:v>
      </x:c>
      <x:c r="B260" s="51" t="str">
        <x:v>MM.41</x:v>
      </x:c>
      <x:c r="C260" s="59" t="b">
        <x:v>1</x:v>
      </x:c>
      <x:c r="D260" s="51" t="str">
        <x:v>The policy has a clear and acceptable definition of significant medication error, near misses, and hazardous situations.</x:v>
      </x:c>
      <x:c r="E260" s="51" t="str"/>
      <x:c r="F260" s="51" t="n">
        <x:v>0</x:v>
      </x:c>
      <x:c r="G260" s="51" t="n">
        <x:v>0</x:v>
      </x:c>
      <x:c r="H260" s="51" t="n">
        <x:v>0</x:v>
      </x:c>
      <x:c r="I260" s="51" t="str">
        <x:v>Missing</x:v>
      </x:c>
      <x:c r="J260" s="51" t="n">
        <x:v>0</x:v>
      </x:c>
      <x:c r="K260" s="51" t="n">
        <x:v>0</x:v>
      </x:c>
      <x:c r="L260" s="51" t="n">
        <x:f>MIN(100,IF(C260,20,0)+F260*45+G260*30+H260*15+IF(I260="CriticalBlocked",30,IF(I260="Blocked",20,IF(I260="Missing",20,IF(I260="Partial",10,0))))+J260*20+K260*10)</x:f>
        <x:v>40</x:v>
      </x:c>
      <x:c r="M260" s="51" t="str">
        <x:f>IF(L260&gt;=75,"Critical",IF(L260&gt;=50,"High",IF(L260&gt;=25,"Moderate","Low")))</x:f>
        <x:v>Moderate</x:v>
      </x:c>
      <x:c r="N260" s="51" t="str">
        <x:v>Unreviewed</x:v>
      </x:c>
      <x:c r="O260" s="51" t="str"/>
      <x:c r="P260" s="51" t="str"/>
      <x:c r="Q260" s="49"/>
      <x:c r="R260" s="49"/>
      <x:c r="S260" s="49"/>
      <x:c r="T260" s="49"/>
      <x:c r="U260" s="49"/>
      <x:c r="V260" s="49"/>
      <x:c r="W260" s="49"/>
      <x:c r="X260" s="49"/>
      <x:c r="Y260" s="49"/>
      <x:c r="Z260" s="49"/>
    </x:row>
    <x:row r="261">
      <x:c r="A261" s="51" t="str">
        <x:v>MM.41.3</x:v>
      </x:c>
      <x:c r="B261" s="51" t="str">
        <x:v>MM.41</x:v>
      </x:c>
      <x:c r="C261" s="59" t="b">
        <x:v>1</x:v>
      </x:c>
      <x:c r="D261" s="51" t="str">
        <x:v>The treating physician is notified of the medication error at the appropriate time.</x:v>
      </x:c>
      <x:c r="E261" s="51" t="str"/>
      <x:c r="F261" s="51" t="n">
        <x:v>0</x:v>
      </x:c>
      <x:c r="G261" s="51" t="n">
        <x:v>0</x:v>
      </x:c>
      <x:c r="H261" s="51" t="n">
        <x:v>0</x:v>
      </x:c>
      <x:c r="I261" s="51" t="str">
        <x:v>Missing</x:v>
      </x:c>
      <x:c r="J261" s="51" t="n">
        <x:v>0</x:v>
      </x:c>
      <x:c r="K261" s="51" t="n">
        <x:v>0</x:v>
      </x:c>
      <x:c r="L261" s="51" t="n">
        <x:f>MIN(100,IF(C261,20,0)+F261*45+G261*30+H261*15+IF(I261="CriticalBlocked",30,IF(I261="Blocked",20,IF(I261="Missing",20,IF(I261="Partial",10,0))))+J261*20+K261*10)</x:f>
        <x:v>40</x:v>
      </x:c>
      <x:c r="M261" s="51" t="str">
        <x:f>IF(L261&gt;=75,"Critical",IF(L261&gt;=50,"High",IF(L261&gt;=25,"Moderate","Low")))</x:f>
        <x:v>Moderate</x:v>
      </x:c>
      <x:c r="N261" s="51" t="str">
        <x:v>Unreviewed</x:v>
      </x:c>
      <x:c r="O261" s="51" t="str"/>
      <x:c r="P261" s="51" t="str"/>
      <x:c r="Q261" s="49"/>
      <x:c r="R261" s="49"/>
      <x:c r="S261" s="49"/>
      <x:c r="T261" s="49"/>
      <x:c r="U261" s="49"/>
      <x:c r="V261" s="49"/>
      <x:c r="W261" s="49"/>
      <x:c r="X261" s="49"/>
      <x:c r="Y261" s="49"/>
      <x:c r="Z261" s="49"/>
    </x:row>
    <x:row r="262">
      <x:c r="A262" s="51" t="str">
        <x:v>MM.41.4</x:v>
      </x:c>
      <x:c r="B262" s="51" t="str">
        <x:v>MM.41</x:v>
      </x:c>
      <x:c r="C262" s="59" t="b">
        <x:v>1</x:v>
      </x:c>
      <x:c r="D262" s="51" t="str">
        <x:v>Medication error reporting is completed within the specified time frame after discovery of the error.</x:v>
      </x:c>
      <x:c r="E262" s="51" t="str"/>
      <x:c r="F262" s="51" t="n">
        <x:v>0</x:v>
      </x:c>
      <x:c r="G262" s="51" t="n">
        <x:v>0</x:v>
      </x:c>
      <x:c r="H262" s="51" t="n">
        <x:v>0</x:v>
      </x:c>
      <x:c r="I262" s="51" t="str">
        <x:v>Missing</x:v>
      </x:c>
      <x:c r="J262" s="51" t="n">
        <x:v>0</x:v>
      </x:c>
      <x:c r="K262" s="51" t="n">
        <x:v>0</x:v>
      </x:c>
      <x:c r="L262" s="51" t="n">
        <x:f>MIN(100,IF(C262,20,0)+F262*45+G262*30+H262*15+IF(I262="CriticalBlocked",30,IF(I262="Blocked",20,IF(I262="Missing",20,IF(I262="Partial",10,0))))+J262*20+K262*10)</x:f>
        <x:v>40</x:v>
      </x:c>
      <x:c r="M262" s="51" t="str">
        <x:f>IF(L262&gt;=75,"Critical",IF(L262&gt;=50,"High",IF(L262&gt;=25,"Moderate","Low")))</x:f>
        <x:v>Moderate</x:v>
      </x:c>
      <x:c r="N262" s="51" t="str">
        <x:v>Unreviewed</x:v>
      </x:c>
      <x:c r="O262" s="51" t="str"/>
      <x:c r="P262" s="51" t="str"/>
      <x:c r="Q262" s="49"/>
      <x:c r="R262" s="49"/>
      <x:c r="S262" s="49"/>
      <x:c r="T262" s="49"/>
      <x:c r="U262" s="49"/>
      <x:c r="V262" s="49"/>
      <x:c r="W262" s="49"/>
      <x:c r="X262" s="49"/>
      <x:c r="Y262" s="49"/>
      <x:c r="Z262" s="49"/>
    </x:row>
    <x:row r="263">
      <x:c r="A263" s="51" t="str">
        <x:v>MM.41.5</x:v>
      </x:c>
      <x:c r="B263" s="51" t="str">
        <x:v>MM.41</x:v>
      </x:c>
      <x:c r="C263" s="59" t="b">
        <x:v>1</x:v>
      </x:c>
      <x:c r="D263" s="51" t="str">
        <x:v>The hospital has a standard format for reporting medication errors.</x:v>
      </x:c>
      <x:c r="E263" s="51" t="str"/>
      <x:c r="F263" s="51" t="n">
        <x:v>0</x:v>
      </x:c>
      <x:c r="G263" s="51" t="n">
        <x:v>0</x:v>
      </x:c>
      <x:c r="H263" s="51" t="n">
        <x:v>0</x:v>
      </x:c>
      <x:c r="I263" s="51" t="str">
        <x:v>Missing</x:v>
      </x:c>
      <x:c r="J263" s="51" t="n">
        <x:v>0</x:v>
      </x:c>
      <x:c r="K263" s="51" t="n">
        <x:v>0</x:v>
      </x:c>
      <x:c r="L263" s="51" t="n">
        <x:f>MIN(100,IF(C263,20,0)+F263*45+G263*30+H263*15+IF(I263="CriticalBlocked",30,IF(I263="Blocked",20,IF(I263="Missing",20,IF(I263="Partial",10,0))))+J263*20+K263*10)</x:f>
        <x:v>40</x:v>
      </x:c>
      <x:c r="M263" s="51" t="str">
        <x:f>IF(L263&gt;=75,"Critical",IF(L263&gt;=50,"High",IF(L263&gt;=25,"Moderate","Low")))</x:f>
        <x:v>Moderate</x:v>
      </x:c>
      <x:c r="N263" s="51" t="str">
        <x:v>Unreviewed</x:v>
      </x:c>
      <x:c r="O263" s="51" t="str"/>
      <x:c r="P263" s="51" t="str"/>
      <x:c r="Q263" s="49"/>
      <x:c r="R263" s="49"/>
      <x:c r="S263" s="49"/>
      <x:c r="T263" s="49"/>
      <x:c r="U263" s="49"/>
      <x:c r="V263" s="49"/>
      <x:c r="W263" s="49"/>
      <x:c r="X263" s="49"/>
      <x:c r="Y263" s="49"/>
      <x:c r="Z263" s="49"/>
    </x:row>
    <x:row r="264">
      <x:c r="A264" s="51" t="str">
        <x:v>MM.41.6</x:v>
      </x:c>
      <x:c r="B264" s="51" t="str">
        <x:v>MM.41</x:v>
      </x:c>
      <x:c r="C264" s="59" t="b">
        <x:v>1</x:v>
      </x:c>
      <x:c r="D264" s="51" t="str">
        <x:v>Staff are educated on the process and importance of medication error reporting.</x:v>
      </x:c>
      <x:c r="E264" s="51" t="str"/>
      <x:c r="F264" s="51" t="n">
        <x:v>0</x:v>
      </x:c>
      <x:c r="G264" s="51" t="n">
        <x:v>0</x:v>
      </x:c>
      <x:c r="H264" s="51" t="n">
        <x:v>0</x:v>
      </x:c>
      <x:c r="I264" s="51" t="str">
        <x:v>Missing</x:v>
      </x:c>
      <x:c r="J264" s="51" t="n">
        <x:v>0</x:v>
      </x:c>
      <x:c r="K264" s="51" t="n">
        <x:v>0</x:v>
      </x:c>
      <x:c r="L264" s="51" t="n">
        <x:f>MIN(100,IF(C264,20,0)+F264*45+G264*30+H264*15+IF(I264="CriticalBlocked",30,IF(I264="Blocked",20,IF(I264="Missing",20,IF(I264="Partial",10,0))))+J264*20+K264*10)</x:f>
        <x:v>40</x:v>
      </x:c>
      <x:c r="M264" s="51" t="str">
        <x:f>IF(L264&gt;=75,"Critical",IF(L264&gt;=50,"High",IF(L264&gt;=25,"Moderate","Low")))</x:f>
        <x:v>Moderate</x:v>
      </x:c>
      <x:c r="N264" s="51" t="str">
        <x:v>Unreviewed</x:v>
      </x:c>
      <x:c r="O264" s="51" t="str"/>
      <x:c r="P264" s="51" t="str"/>
      <x:c r="Q264" s="49"/>
      <x:c r="R264" s="49"/>
      <x:c r="S264" s="49"/>
      <x:c r="T264" s="49"/>
      <x:c r="U264" s="49"/>
      <x:c r="V264" s="49"/>
      <x:c r="W264" s="49"/>
      <x:c r="X264" s="49"/>
      <x:c r="Y264" s="49"/>
      <x:c r="Z264" s="49"/>
    </x:row>
    <x:row r="265">
      <x:c r="A265" s="51" t="str">
        <x:v>MM.41.7</x:v>
      </x:c>
      <x:c r="B265" s="51" t="str">
        <x:v>MM.41</x:v>
      </x:c>
      <x:c r="C265" s="59" t="b">
        <x:v>1</x:v>
      </x:c>
      <x:c r="D265" s="51" t="str">
        <x:v>There is active reporting of medication errors, near misses, and hazardous situations.</x:v>
      </x:c>
      <x:c r="E265" s="51" t="str"/>
      <x:c r="F265" s="51" t="n">
        <x:v>0</x:v>
      </x:c>
      <x:c r="G265" s="51" t="n">
        <x:v>0</x:v>
      </x:c>
      <x:c r="H265" s="51" t="n">
        <x:v>0</x:v>
      </x:c>
      <x:c r="I265" s="51" t="str">
        <x:v>Missing</x:v>
      </x:c>
      <x:c r="J265" s="51" t="n">
        <x:v>0</x:v>
      </x:c>
      <x:c r="K265" s="51" t="n">
        <x:v>0</x:v>
      </x:c>
      <x:c r="L265" s="51" t="n">
        <x:f>MIN(100,IF(C265,20,0)+F265*45+G265*30+H265*15+IF(I265="CriticalBlocked",30,IF(I265="Blocked",20,IF(I265="Missing",20,IF(I265="Partial",10,0))))+J265*20+K265*10)</x:f>
        <x:v>40</x:v>
      </x:c>
      <x:c r="M265" s="51" t="str">
        <x:f>IF(L265&gt;=75,"Critical",IF(L265&gt;=50,"High",IF(L265&gt;=25,"Moderate","Low")))</x:f>
        <x:v>Moderate</x:v>
      </x:c>
      <x:c r="N265" s="51" t="str">
        <x:v>Unreviewed</x:v>
      </x:c>
      <x:c r="O265" s="51" t="str"/>
      <x:c r="P265" s="51" t="str"/>
      <x:c r="Q265" s="49"/>
      <x:c r="R265" s="49"/>
      <x:c r="S265" s="49"/>
      <x:c r="T265" s="49"/>
      <x:c r="U265" s="49"/>
      <x:c r="V265" s="49"/>
      <x:c r="W265" s="49"/>
      <x:c r="X265" s="49"/>
      <x:c r="Y265" s="49"/>
      <x:c r="Z265" s="49"/>
    </x:row>
    <x:row r="266">
      <x:c r="A266" s="51" t="str">
        <x:v>MM.41.8</x:v>
      </x:c>
      <x:c r="B266" s="51" t="str">
        <x:v>MM.41</x:v>
      </x:c>
      <x:c r="C266" s="59" t="b">
        <x:v>1</x:v>
      </x:c>
      <x:c r="D266" s="51" t="str">
        <x:v>The hospital conducts intensive root-cause analysis for all significant or potentially significant medication errors.</x:v>
      </x:c>
      <x:c r="E266" s="51" t="str"/>
      <x:c r="F266" s="51" t="n">
        <x:v>0</x:v>
      </x:c>
      <x:c r="G266" s="51" t="n">
        <x:v>0</x:v>
      </x:c>
      <x:c r="H266" s="51" t="n">
        <x:v>0</x:v>
      </x:c>
      <x:c r="I266" s="51" t="str">
        <x:v>Missing</x:v>
      </x:c>
      <x:c r="J266" s="51" t="n">
        <x:v>0</x:v>
      </x:c>
      <x:c r="K266" s="51" t="n">
        <x:v>0</x:v>
      </x:c>
      <x:c r="L266" s="51" t="n">
        <x:f>MIN(100,IF(C266,20,0)+F266*45+G266*30+H266*15+IF(I266="CriticalBlocked",30,IF(I266="Blocked",20,IF(I266="Missing",20,IF(I266="Partial",10,0))))+J266*20+K266*10)</x:f>
        <x:v>40</x:v>
      </x:c>
      <x:c r="M266" s="51" t="str">
        <x:f>IF(L266&gt;=75,"Critical",IF(L266&gt;=50,"High",IF(L266&gt;=25,"Moderate","Low")))</x:f>
        <x:v>Moderate</x:v>
      </x:c>
      <x:c r="N266" s="51" t="str">
        <x:v>Unreviewed</x:v>
      </x:c>
      <x:c r="O266" s="51" t="str"/>
      <x:c r="P266" s="51" t="str"/>
      <x:c r="Q266" s="49"/>
      <x:c r="R266" s="49"/>
      <x:c r="S266" s="49"/>
      <x:c r="T266" s="49"/>
      <x:c r="U266" s="49"/>
      <x:c r="V266" s="49"/>
      <x:c r="W266" s="49"/>
      <x:c r="X266" s="49"/>
      <x:c r="Y266" s="49"/>
      <x:c r="Z266" s="49"/>
    </x:row>
    <x:row r="267">
      <x:c r="A267" s="51" t="str">
        <x:v>MM.41.9</x:v>
      </x:c>
      <x:c r="B267" s="51" t="str">
        <x:v>MM.41</x:v>
      </x:c>
      <x:c r="C267" s="59" t="b">
        <x:v>1</x:v>
      </x:c>
      <x:c r="D267" s="51" t="str">
        <x:v>Medication errors, near misses, and hazardous situations are documented in the patient’s medical record.</x:v>
      </x:c>
      <x:c r="E267" s="51" t="str"/>
      <x:c r="F267" s="51" t="n">
        <x:v>0</x:v>
      </x:c>
      <x:c r="G267" s="51" t="n">
        <x:v>0</x:v>
      </x:c>
      <x:c r="H267" s="51" t="n">
        <x:v>0</x:v>
      </x:c>
      <x:c r="I267" s="51" t="str">
        <x:v>Missing</x:v>
      </x:c>
      <x:c r="J267" s="51" t="n">
        <x:v>0</x:v>
      </x:c>
      <x:c r="K267" s="51" t="n">
        <x:v>0</x:v>
      </x:c>
      <x:c r="L267" s="51" t="n">
        <x:f>MIN(100,IF(C267,20,0)+F267*45+G267*30+H267*15+IF(I267="CriticalBlocked",30,IF(I267="Blocked",20,IF(I267="Missing",20,IF(I267="Partial",10,0))))+J267*20+K267*10)</x:f>
        <x:v>40</x:v>
      </x:c>
      <x:c r="M267" s="51" t="str">
        <x:f>IF(L267&gt;=75,"Critical",IF(L267&gt;=50,"High",IF(L267&gt;=25,"Moderate","Low")))</x:f>
        <x:v>Moderate</x:v>
      </x:c>
      <x:c r="N267" s="51" t="str">
        <x:v>Unreviewed</x:v>
      </x:c>
      <x:c r="O267" s="51" t="str"/>
      <x:c r="P267" s="51" t="str"/>
      <x:c r="Q267" s="49"/>
      <x:c r="R267" s="49"/>
      <x:c r="S267" s="49"/>
      <x:c r="T267" s="49"/>
      <x:c r="U267" s="49"/>
      <x:c r="V267" s="49"/>
      <x:c r="W267" s="49"/>
      <x:c r="X267" s="49"/>
      <x:c r="Y267" s="49"/>
      <x:c r="Z267" s="49"/>
    </x:row>
    <x:row r="268">
      <x:c r="A268" s="51" t="str">
        <x:v>MM.41.10</x:v>
      </x:c>
      <x:c r="B268" s="51" t="str">
        <x:v>MM.41</x:v>
      </x:c>
      <x:c r="C268" s="59" t="b">
        <x:v>1</x:v>
      </x:c>
      <x:c r="D268" s="51" t="str">
        <x:v>The hospital utilizes reported data to improve the medication use process, prevent medication errors, and improve patient safety.</x:v>
      </x:c>
      <x:c r="E268" s="51" t="str"/>
      <x:c r="F268" s="51" t="n">
        <x:v>0</x:v>
      </x:c>
      <x:c r="G268" s="51" t="n">
        <x:v>0</x:v>
      </x:c>
      <x:c r="H268" s="51" t="n">
        <x:v>0</x:v>
      </x:c>
      <x:c r="I268" s="51" t="str">
        <x:v>Missing</x:v>
      </x:c>
      <x:c r="J268" s="51" t="n">
        <x:v>0</x:v>
      </x:c>
      <x:c r="K268" s="51" t="n">
        <x:v>0</x:v>
      </x:c>
      <x:c r="L268" s="51" t="n">
        <x:f>MIN(100,IF(C268,20,0)+F268*45+G268*30+H268*15+IF(I268="CriticalBlocked",30,IF(I268="Blocked",20,IF(I268="Missing",20,IF(I268="Partial",10,0))))+J268*20+K268*10)</x:f>
        <x:v>40</x:v>
      </x:c>
      <x:c r="M268" s="51" t="str">
        <x:f>IF(L268&gt;=75,"Critical",IF(L268&gt;=50,"High",IF(L268&gt;=25,"Moderate","Low")))</x:f>
        <x:v>Moderate</x:v>
      </x:c>
      <x:c r="N268" s="51" t="str">
        <x:v>Unreviewed</x:v>
      </x:c>
      <x:c r="O268" s="51" t="str"/>
      <x:c r="P268" s="51" t="str"/>
      <x:c r="Q268" s="49"/>
      <x:c r="R268" s="49"/>
      <x:c r="S268" s="49"/>
      <x:c r="T268" s="49"/>
      <x:c r="U268" s="49"/>
      <x:c r="V268" s="49"/>
      <x:c r="W268" s="49"/>
      <x:c r="X268" s="49"/>
      <x:c r="Y268" s="49"/>
      <x:c r="Z268" s="49"/>
    </x:row>
    <x:row r="269">
      <x:c r="A269" s="51" t="str">
        <x:v>MM.41.11</x:v>
      </x:c>
      <x:c r="B269" s="51" t="str">
        <x:v>MM.41</x:v>
      </x:c>
      <x:c r="C269" s="59" t="b">
        <x:v>1</x:v>
      </x:c>
      <x:c r="D269" s="51" t="str">
        <x:v>Healthcare professionals are provided with feedback on reported medication errors, near misses, and hazardous situations.</x:v>
      </x:c>
      <x:c r="E269" s="51" t="str"/>
      <x:c r="F269" s="51" t="n">
        <x:v>0</x:v>
      </x:c>
      <x:c r="G269" s="51" t="n">
        <x:v>0</x:v>
      </x:c>
      <x:c r="H269" s="51" t="n">
        <x:v>0</x:v>
      </x:c>
      <x:c r="I269" s="51" t="str">
        <x:v>Missing</x:v>
      </x:c>
      <x:c r="J269" s="51" t="n">
        <x:v>0</x:v>
      </x:c>
      <x:c r="K269" s="51" t="n">
        <x:v>0</x:v>
      </x:c>
      <x:c r="L269" s="51" t="n">
        <x:f>MIN(100,IF(C269,20,0)+F269*45+G269*30+H269*15+IF(I269="CriticalBlocked",30,IF(I269="Blocked",20,IF(I269="Missing",20,IF(I269="Partial",10,0))))+J269*20+K269*10)</x:f>
        <x:v>40</x:v>
      </x:c>
      <x:c r="M269" s="51" t="str">
        <x:f>IF(L269&gt;=75,"Critical",IF(L269&gt;=50,"High",IF(L269&gt;=25,"Moderate","Low")))</x:f>
        <x:v>Moderate</x:v>
      </x:c>
      <x:c r="N269" s="51" t="str">
        <x:v>Unreviewed</x:v>
      </x:c>
      <x:c r="O269" s="51" t="str"/>
      <x:c r="P269" s="51" t="str"/>
      <x:c r="Q269" s="49"/>
      <x:c r="R269" s="49"/>
      <x:c r="S269" s="49"/>
      <x:c r="T269" s="49"/>
      <x:c r="U269" s="49"/>
      <x:c r="V269" s="49"/>
      <x:c r="W269" s="49"/>
      <x:c r="X269" s="49"/>
      <x:c r="Y269" s="49"/>
      <x:c r="Z269" s="49"/>
    </x:row>
    <x:row r="270">
      <x:c r="A270" s="51" t="str">
        <x:v>MM.41.12</x:v>
      </x:c>
      <x:c r="B270" s="51" t="str">
        <x:v>MM.41</x:v>
      </x:c>
      <x:c r="C270" s="59" t="b">
        <x:v>1</x:v>
      </x:c>
      <x:c r="D270" s="51" t="str">
        <x:v>The hospital reports sentinel events related to serious medication errors to the relevant authorities</x:v>
      </x:c>
      <x:c r="E270" s="51" t="str"/>
      <x:c r="F270" s="51" t="n">
        <x:v>0</x:v>
      </x:c>
      <x:c r="G270" s="51" t="n">
        <x:v>0</x:v>
      </x:c>
      <x:c r="H270" s="51" t="n">
        <x:v>0</x:v>
      </x:c>
      <x:c r="I270" s="51" t="str">
        <x:v>Missing</x:v>
      </x:c>
      <x:c r="J270" s="51" t="n">
        <x:v>0</x:v>
      </x:c>
      <x:c r="K270" s="51" t="n">
        <x:v>0</x:v>
      </x:c>
      <x:c r="L270" s="51" t="n">
        <x:f>MIN(100,IF(C270,20,0)+F270*45+G270*30+H270*15+IF(I270="CriticalBlocked",30,IF(I270="Blocked",20,IF(I270="Missing",20,IF(I270="Partial",10,0))))+J270*20+K270*10)</x:f>
        <x:v>40</x:v>
      </x:c>
      <x:c r="M270" s="51" t="str">
        <x:f>IF(L270&gt;=75,"Critical",IF(L270&gt;=50,"High",IF(L270&gt;=25,"Moderate","Low")))</x:f>
        <x:v>Moderate</x:v>
      </x:c>
      <x:c r="N270" s="51" t="str">
        <x:v>Unreviewed</x:v>
      </x:c>
      <x:c r="O270" s="51" t="str"/>
      <x:c r="P270" s="51" t="str"/>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sheetData>
  <x:mergeCells>
    <x:mergeCell ref="A1:P2"/>
  </x:mergeCells>
  <x:conditionalFormatting sqref="L5:L270">
    <x:cfRule type="colorScale" priority="1">
      <x:colorScale>
        <x:cfvo type="min"/>
        <x:cfvo type="percentile" val="50"/>
        <x:cfvo type="max"/>
        <x:color rgb="FFDCFCE7"/>
        <x:color rgb="FFFEF3C7"/>
        <x:color rgb="FFFECACA"/>
      </x:colorScale>
    </x:cfRule>
  </x:conditionalFormatting>
  <x:conditionalFormatting sqref="M5:M270">
    <x:cfRule type="expression" dxfId="0" priority="2">
      <x:formula>M5="Critical"</x:formula>
    </x:cfRule>
    <x:cfRule type="expression" dxfId="1" priority="3">
      <x:formula>M5="High"</x:formula>
    </x:cfRule>
  </x:conditionalFormatting>
  <x:dataValidations count="4">
    <x:dataValidation type="list" sqref="F5:H270">
      <x:formula1>_Lists!$B$2:$B$3</x:formula1>
    </x:dataValidation>
    <x:dataValidation type="list" sqref="I5:I270">
      <x:formula1>_Lists!$A$2:$A$7</x:formula1>
    </x:dataValidation>
    <x:dataValidation type="list" sqref="J5:K270">
      <x:formula1>_Lists!$B$2:$B$3</x:formula1>
    </x:dataValidation>
    <x:dataValidation type="list" sqref="N5:N270">
      <x:formula1>_Lists!$C$2:$C$4</x:formula1>
    </x:dataValidation>
  </x:dataValidations>
  <x:pageMargins left="0.7" right="0.7" top="0.75" bottom="0.75" header="0.3" footer="0.3"/>
  <x:tableParts count="1">
    <x:tablePart xmlns:r="http://schemas.openxmlformats.org/officeDocument/2006/relationships" r:id="R5c3dc4820d7f4bb4"/>
  </x:tableParts>
</x:worksheet>
</file>

<file path=xl/worksheets/sheet3.xml><?xml version="1.0" encoding="utf-8"?>
<x:worksheet xmlns:x="http://schemas.openxmlformats.org/spreadsheetml/2006/main">
  <x:sheetFormatPr defaultRowHeight="15"/>
  <x:cols>
    <x:col min="1" max="1" width="26" hidden="0" customWidth="1"/>
    <x:col min="2" max="2" width="40" hidden="0" customWidth="1"/>
    <x:col min="3" max="3" width="12" hidden="0" customWidth="1"/>
    <x:col min="4" max="4" width="15" hidden="0" customWidth="1"/>
    <x:col min="5" max="5" width="15" hidden="0" customWidth="1"/>
    <x:col min="6" max="6" width="55" hidden="0" customWidth="1"/>
  </x:cols>
  <x:sheetData>
    <x:row r="1">
      <x:c r="A1" s="48" t="str">
        <x:v>كتالوج إشارات المخاطر والأوزان</x:v>
      </x:c>
      <x:c r="B1" s="48"/>
      <x:c r="C1" s="48"/>
      <x:c r="D1" s="48"/>
      <x:c r="E1" s="48"/>
      <x:c r="F1" s="48"/>
      <x:c r="G1" s="49"/>
      <x:c r="H1" s="49"/>
      <x:c r="I1" s="49"/>
      <x:c r="J1" s="49"/>
      <x:c r="K1" s="49"/>
      <x:c r="L1" s="49"/>
      <x:c r="M1" s="49"/>
      <x:c r="N1" s="49"/>
      <x:c r="O1" s="49"/>
      <x:c r="P1" s="49"/>
      <x:c r="Q1" s="49"/>
      <x:c r="R1" s="49"/>
      <x:c r="S1" s="49"/>
      <x:c r="T1" s="49"/>
      <x:c r="U1" s="49"/>
      <x:c r="V1" s="49"/>
      <x:c r="W1" s="49"/>
      <x:c r="X1" s="49"/>
      <x:c r="Y1" s="49"/>
      <x:c r="Z1" s="49"/>
    </x:row>
    <x:row r="2">
      <x:c r="A2" s="48"/>
      <x:c r="B2" s="48"/>
      <x:c r="C2" s="48"/>
      <x:c r="D2" s="48"/>
      <x:c r="E2" s="48"/>
      <x:c r="F2" s="48"/>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58" t="str">
        <x:v>Signal Code</x:v>
      </x:c>
      <x:c r="B4" s="58" t="str">
        <x:v>الوصف</x:v>
      </x:c>
      <x:c r="C4" s="58" t="str">
        <x:v>Weight</x:v>
      </x:c>
      <x:c r="D4" s="58" t="str">
        <x:v>Type</x:v>
      </x:c>
      <x:c r="E4" s="58" t="str">
        <x:v>Data Source</x:v>
      </x:c>
      <x:c r="F4" s="58" t="str">
        <x:v>Guardrail</x:v>
      </x:c>
      <x:c r="G4" s="49"/>
      <x:c r="H4" s="49"/>
      <x:c r="I4" s="49"/>
      <x:c r="J4" s="49"/>
      <x:c r="K4" s="49"/>
      <x:c r="L4" s="49"/>
      <x:c r="M4" s="49"/>
      <x:c r="N4" s="49"/>
      <x:c r="O4" s="49"/>
      <x:c r="P4" s="49"/>
      <x:c r="Q4" s="49"/>
      <x:c r="R4" s="49"/>
      <x:c r="S4" s="49"/>
      <x:c r="T4" s="49"/>
      <x:c r="U4" s="49"/>
      <x:c r="V4" s="49"/>
      <x:c r="W4" s="49"/>
      <x:c r="X4" s="49"/>
      <x:c r="Y4" s="49"/>
      <x:c r="Z4" s="49"/>
    </x:row>
    <x:row r="5">
      <x:c r="A5" s="51" t="str">
        <x:v>ESR</x:v>
      </x:c>
      <x:c r="B5" s="51" t="str">
        <x:v>العنصر ضمن ESR</x:v>
      </x:c>
      <x:c r="C5" s="51" t="n">
        <x:v>20</x:v>
      </x:c>
      <x:c r="D5" s="51" t="str">
        <x:v>Boolean</x:v>
      </x:c>
      <x:c r="E5" s="51" t="str">
        <x:v>ثابت</x:v>
      </x:c>
      <x:c r="F5" s="51" t="str">
        <x:v>لا يساوي عدم الامتثال؛ يزيد أولوية المراجعة.</x:v>
      </x:c>
      <x:c r="G5" s="49"/>
      <x:c r="H5" s="49"/>
      <x:c r="I5" s="49"/>
      <x:c r="J5" s="49"/>
      <x:c r="K5" s="49"/>
      <x:c r="L5" s="49"/>
      <x:c r="M5" s="49"/>
      <x:c r="N5" s="49"/>
      <x:c r="O5" s="49"/>
      <x:c r="P5" s="49"/>
      <x:c r="Q5" s="49"/>
      <x:c r="R5" s="49"/>
      <x:c r="S5" s="49"/>
      <x:c r="T5" s="49"/>
      <x:c r="U5" s="49"/>
      <x:c r="V5" s="49"/>
      <x:c r="W5" s="49"/>
      <x:c r="X5" s="49"/>
      <x:c r="Y5" s="49"/>
      <x:c r="Z5" s="49"/>
    </x:row>
    <x:row r="6">
      <x:c r="A6" s="51" t="str">
        <x:v>OPEN_P0</x:v>
      </x:c>
      <x:c r="B6" s="51" t="str">
        <x:v>Finding P0 مفتوح</x:v>
      </x:c>
      <x:c r="C6" s="51" t="n">
        <x:v>45</x:v>
      </x:c>
      <x:c r="D6" s="51" t="str">
        <x:v>Boolean</x:v>
      </x:c>
      <x:c r="E6" s="51" t="str">
        <x:v>فعلي</x:v>
      </x:c>
      <x:c r="F6" s="51" t="str">
        <x:v>إشارة حرجة.</x:v>
      </x:c>
      <x:c r="G6" s="49"/>
      <x:c r="H6" s="49"/>
      <x:c r="I6" s="49"/>
      <x:c r="J6" s="49"/>
      <x:c r="K6" s="49"/>
      <x:c r="L6" s="49"/>
      <x:c r="M6" s="49"/>
      <x:c r="N6" s="49"/>
      <x:c r="O6" s="49"/>
      <x:c r="P6" s="49"/>
      <x:c r="Q6" s="49"/>
      <x:c r="R6" s="49"/>
      <x:c r="S6" s="49"/>
      <x:c r="T6" s="49"/>
      <x:c r="U6" s="49"/>
      <x:c r="V6" s="49"/>
      <x:c r="W6" s="49"/>
      <x:c r="X6" s="49"/>
      <x:c r="Y6" s="49"/>
      <x:c r="Z6" s="49"/>
    </x:row>
    <x:row r="7">
      <x:c r="A7" s="51" t="str">
        <x:v>OPEN_P1</x:v>
      </x:c>
      <x:c r="B7" s="51" t="str">
        <x:v>Finding P1 مفتوح</x:v>
      </x:c>
      <x:c r="C7" s="51" t="n">
        <x:v>30</x:v>
      </x:c>
      <x:c r="D7" s="51" t="str">
        <x:v>Boolean</x:v>
      </x:c>
      <x:c r="E7" s="51" t="str">
        <x:v>فعلي</x:v>
      </x:c>
      <x:c r="F7" s="51" t="str">
        <x:v>إشارة عالية.</x:v>
      </x:c>
      <x:c r="G7" s="49"/>
      <x:c r="H7" s="49"/>
      <x:c r="I7" s="49"/>
      <x:c r="J7" s="49"/>
      <x:c r="K7" s="49"/>
      <x:c r="L7" s="49"/>
      <x:c r="M7" s="49"/>
      <x:c r="N7" s="49"/>
      <x:c r="O7" s="49"/>
      <x:c r="P7" s="49"/>
      <x:c r="Q7" s="49"/>
      <x:c r="R7" s="49"/>
      <x:c r="S7" s="49"/>
      <x:c r="T7" s="49"/>
      <x:c r="U7" s="49"/>
      <x:c r="V7" s="49"/>
      <x:c r="W7" s="49"/>
      <x:c r="X7" s="49"/>
      <x:c r="Y7" s="49"/>
      <x:c r="Z7" s="49"/>
    </x:row>
    <x:row r="8">
      <x:c r="A8" s="51" t="str">
        <x:v>OPEN_P2</x:v>
      </x:c>
      <x:c r="B8" s="51" t="str">
        <x:v>Finding P2 مفتوح</x:v>
      </x:c>
      <x:c r="C8" s="51" t="n">
        <x:v>15</x:v>
      </x:c>
      <x:c r="D8" s="51" t="str">
        <x:v>Boolean</x:v>
      </x:c>
      <x:c r="E8" s="51" t="str">
        <x:v>فعلي</x:v>
      </x:c>
      <x:c r="F8" s="51" t="str">
        <x:v>إشارة متوسطة.</x:v>
      </x:c>
      <x:c r="G8" s="49"/>
      <x:c r="H8" s="49"/>
      <x:c r="I8" s="49"/>
      <x:c r="J8" s="49"/>
      <x:c r="K8" s="49"/>
      <x:c r="L8" s="49"/>
      <x:c r="M8" s="49"/>
      <x:c r="N8" s="49"/>
      <x:c r="O8" s="49"/>
      <x:c r="P8" s="49"/>
      <x:c r="Q8" s="49"/>
      <x:c r="R8" s="49"/>
      <x:c r="S8" s="49"/>
      <x:c r="T8" s="49"/>
      <x:c r="U8" s="49"/>
      <x:c r="V8" s="49"/>
      <x:c r="W8" s="49"/>
      <x:c r="X8" s="49"/>
      <x:c r="Y8" s="49"/>
      <x:c r="Z8" s="49"/>
    </x:row>
    <x:row r="9">
      <x:c r="A9" s="51" t="str">
        <x:v>READINESS_CRITICAL</x:v>
      </x:c>
      <x:c r="B9" s="51" t="str">
        <x:v>Readiness = CriticalBlocked</x:v>
      </x:c>
      <x:c r="C9" s="51" t="n">
        <x:v>30</x:v>
      </x:c>
      <x:c r="D9" s="51" t="str">
        <x:v>State</x:v>
      </x:c>
      <x:c r="E9" s="51" t="str">
        <x:v>فعلي</x:v>
      </x:c>
      <x:c r="F9" s="51" t="str">
        <x:v>تمنع الأخضر.</x:v>
      </x:c>
      <x:c r="G9" s="49"/>
      <x:c r="H9" s="49"/>
      <x:c r="I9" s="49"/>
      <x:c r="J9" s="49"/>
      <x:c r="K9" s="49"/>
      <x:c r="L9" s="49"/>
      <x:c r="M9" s="49"/>
      <x:c r="N9" s="49"/>
      <x:c r="O9" s="49"/>
      <x:c r="P9" s="49"/>
      <x:c r="Q9" s="49"/>
      <x:c r="R9" s="49"/>
      <x:c r="S9" s="49"/>
      <x:c r="T9" s="49"/>
      <x:c r="U9" s="49"/>
      <x:c r="V9" s="49"/>
      <x:c r="W9" s="49"/>
      <x:c r="X9" s="49"/>
      <x:c r="Y9" s="49"/>
      <x:c r="Z9" s="49"/>
    </x:row>
    <x:row r="10">
      <x:c r="A10" s="51" t="str">
        <x:v>READINESS_BLOCKED</x:v>
      </x:c>
      <x:c r="B10" s="51" t="str">
        <x:v>Readiness = Blocked</x:v>
      </x:c>
      <x:c r="C10" s="51" t="n">
        <x:v>20</x:v>
      </x:c>
      <x:c r="D10" s="51" t="str">
        <x:v>State</x:v>
      </x:c>
      <x:c r="E10" s="51" t="str">
        <x:v>فعلي</x:v>
      </x:c>
      <x:c r="F10" s="51" t="str">
        <x:v>تتطلب إغلاق فجوة.</x:v>
      </x:c>
      <x:c r="G10" s="49"/>
      <x:c r="H10" s="49"/>
      <x:c r="I10" s="49"/>
      <x:c r="J10" s="49"/>
      <x:c r="K10" s="49"/>
      <x:c r="L10" s="49"/>
      <x:c r="M10" s="49"/>
      <x:c r="N10" s="49"/>
      <x:c r="O10" s="49"/>
      <x:c r="P10" s="49"/>
      <x:c r="Q10" s="49"/>
      <x:c r="R10" s="49"/>
      <x:c r="S10" s="49"/>
      <x:c r="T10" s="49"/>
      <x:c r="U10" s="49"/>
      <x:c r="V10" s="49"/>
      <x:c r="W10" s="49"/>
      <x:c r="X10" s="49"/>
      <x:c r="Y10" s="49"/>
      <x:c r="Z10" s="49"/>
    </x:row>
    <x:row r="11">
      <x:c r="A11" s="51" t="str">
        <x:v>READINESS_MISSING</x:v>
      </x:c>
      <x:c r="B11" s="51" t="str">
        <x:v>Readiness = Missing</x:v>
      </x:c>
      <x:c r="C11" s="51" t="n">
        <x:v>20</x:v>
      </x:c>
      <x:c r="D11" s="51" t="str">
        <x:v>State</x:v>
      </x:c>
      <x:c r="E11" s="51" t="str">
        <x:v>فعلي</x:v>
      </x:c>
      <x:c r="F11" s="51" t="str">
        <x:v>لا يوجد دليل مقبول أوجزئي.</x:v>
      </x:c>
      <x:c r="G11" s="49"/>
      <x:c r="H11" s="49"/>
      <x:c r="I11" s="49"/>
      <x:c r="J11" s="49"/>
      <x:c r="K11" s="49"/>
      <x:c r="L11" s="49"/>
      <x:c r="M11" s="49"/>
      <x:c r="N11" s="49"/>
      <x:c r="O11" s="49"/>
      <x:c r="P11" s="49"/>
      <x:c r="Q11" s="49"/>
      <x:c r="R11" s="49"/>
      <x:c r="S11" s="49"/>
      <x:c r="T11" s="49"/>
      <x:c r="U11" s="49"/>
      <x:c r="V11" s="49"/>
      <x:c r="W11" s="49"/>
      <x:c r="X11" s="49"/>
      <x:c r="Y11" s="49"/>
      <x:c r="Z11" s="49"/>
    </x:row>
    <x:row r="12">
      <x:c r="A12" s="51" t="str">
        <x:v>READINESS_PARTIAL</x:v>
      </x:c>
      <x:c r="B12" s="51" t="str">
        <x:v>Readiness = Partial</x:v>
      </x:c>
      <x:c r="C12" s="51" t="n">
        <x:v>10</x:v>
      </x:c>
      <x:c r="D12" s="51" t="str">
        <x:v>State</x:v>
      </x:c>
      <x:c r="E12" s="51" t="str">
        <x:v>فعلي</x:v>
      </x:c>
      <x:c r="F12" s="51" t="str">
        <x:v>الدليل غير مكتمل.</x:v>
      </x:c>
      <x:c r="G12" s="49"/>
      <x:c r="H12" s="49"/>
      <x:c r="I12" s="49"/>
      <x:c r="J12" s="49"/>
      <x:c r="K12" s="49"/>
      <x:c r="L12" s="49"/>
      <x:c r="M12" s="49"/>
      <x:c r="N12" s="49"/>
      <x:c r="O12" s="49"/>
      <x:c r="P12" s="49"/>
      <x:c r="Q12" s="49"/>
      <x:c r="R12" s="49"/>
      <x:c r="S12" s="49"/>
      <x:c r="T12" s="49"/>
      <x:c r="U12" s="49"/>
      <x:c r="V12" s="49"/>
      <x:c r="W12" s="49"/>
      <x:c r="X12" s="49"/>
      <x:c r="Y12" s="49"/>
      <x:c r="Z12" s="49"/>
    </x:row>
    <x:row r="13">
      <x:c r="A13" s="51" t="str">
        <x:v>OVERDUE_CONTROL</x:v>
      </x:c>
      <x:c r="B13" s="51" t="str">
        <x:v>ضابط ضمان دوري متأخر</x:v>
      </x:c>
      <x:c r="C13" s="51" t="n">
        <x:v>20</x:v>
      </x:c>
      <x:c r="D13" s="51" t="str">
        <x:v>Boolean</x:v>
      </x:c>
      <x:c r="E13" s="51" t="str">
        <x:v>فعلي</x:v>
      </x:c>
      <x:c r="F13" s="51" t="str">
        <x:v>يحتاج تصعيد.</x:v>
      </x:c>
      <x:c r="G13" s="49"/>
      <x:c r="H13" s="49"/>
      <x:c r="I13" s="49"/>
      <x:c r="J13" s="49"/>
      <x:c r="K13" s="49"/>
      <x:c r="L13" s="49"/>
      <x:c r="M13" s="49"/>
      <x:c r="N13" s="49"/>
      <x:c r="O13" s="49"/>
      <x:c r="P13" s="49"/>
      <x:c r="Q13" s="49"/>
      <x:c r="R13" s="49"/>
      <x:c r="S13" s="49"/>
      <x:c r="T13" s="49"/>
      <x:c r="U13" s="49"/>
      <x:c r="V13" s="49"/>
      <x:c r="W13" s="49"/>
      <x:c r="X13" s="49"/>
      <x:c r="Y13" s="49"/>
      <x:c r="Z13" s="49"/>
    </x:row>
    <x:row r="14">
      <x:c r="A14" s="51" t="str">
        <x:v>DATA_QUALITY_ISSUE</x:v>
      </x:c>
      <x:c r="B14" s="51" t="str">
        <x:v>مشكلة جودة بيانات مفتوحة</x:v>
      </x:c>
      <x:c r="C14" s="51" t="n">
        <x:v>10</x:v>
      </x:c>
      <x:c r="D14" s="51" t="str">
        <x:v>Boolean</x:v>
      </x:c>
      <x:c r="E14" s="51" t="str">
        <x:v>فعلي</x:v>
      </x:c>
      <x:c r="F14" s="51" t="str">
        <x:v>تؤثر في موثوقية القرار.</x:v>
      </x:c>
      <x:c r="G14" s="49"/>
      <x:c r="H14" s="49"/>
      <x:c r="I14" s="49"/>
      <x:c r="J14" s="49"/>
      <x:c r="K14" s="49"/>
      <x:c r="L14" s="49"/>
      <x:c r="M14" s="49"/>
      <x:c r="N14" s="49"/>
      <x:c r="O14" s="49"/>
      <x:c r="P14" s="49"/>
      <x:c r="Q14" s="49"/>
      <x:c r="R14" s="49"/>
      <x:c r="S14" s="49"/>
      <x:c r="T14" s="49"/>
      <x:c r="U14" s="49"/>
      <x:c r="V14" s="49"/>
      <x:c r="W14" s="49"/>
      <x:c r="X14" s="49"/>
      <x:c r="Y14" s="49"/>
      <x:c r="Z14" s="49"/>
    </x:row>
    <x:row r="15">
      <x:c r="A15" s="49"/>
      <x:c r="B15" s="49"/>
      <x:c r="C15" s="49"/>
      <x:c r="D15" s="49"/>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49"/>
      <x:c r="B16" s="49"/>
      <x:c r="C16" s="49"/>
      <x:c r="D16" s="49"/>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49"/>
      <x:c r="B17" s="49"/>
      <x:c r="C17" s="49"/>
      <x:c r="D17" s="49"/>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49"/>
      <x:c r="B18" s="49"/>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sheetData>
  <x:mergeCells>
    <x:mergeCell ref="A1:F2"/>
  </x:mergeCells>
  <x:pageMargins left="0.7" right="0.7" top="0.75" bottom="0.75" header="0.3" footer="0.3"/>
  <x:tableParts count="1">
    <x:tablePart xmlns:r="http://schemas.openxmlformats.org/officeDocument/2006/relationships" r:id="R1c0f3121eb8c45c7"/>
  </x:tableParts>
</x:worksheet>
</file>

<file path=xl/worksheets/sheet4.xml><?xml version="1.0" encoding="utf-8"?>
<x:worksheet xmlns:x="http://schemas.openxmlformats.org/spreadsheetml/2006/main">
  <x:sheetFormatPr defaultRowHeight="15"/>
  <x:cols>
    <x:col min="1" max="1" width="25" hidden="0" customWidth="1"/>
    <x:col min="2" max="2" width="28" hidden="0" customWidth="1"/>
    <x:col min="3" max="3" width="45" hidden="0" customWidth="1"/>
  </x:cols>
  <x:sheetData>
    <x:row r="1">
      <x:c r="A1" s="48" t="str">
        <x:v>سياسة حوكمة الذكاء الاصطناعي</x:v>
      </x:c>
      <x:c r="B1" s="48"/>
      <x:c r="C1" s="48"/>
      <x:c r="D1" s="48"/>
      <x:c r="E1" s="48"/>
      <x:c r="F1" s="48"/>
      <x:c r="G1" s="49"/>
      <x:c r="H1" s="49"/>
      <x:c r="I1" s="49"/>
      <x:c r="J1" s="49"/>
      <x:c r="K1" s="49"/>
      <x:c r="L1" s="49"/>
      <x:c r="M1" s="49"/>
      <x:c r="N1" s="49"/>
      <x:c r="O1" s="49"/>
      <x:c r="P1" s="49"/>
      <x:c r="Q1" s="49"/>
      <x:c r="R1" s="49"/>
      <x:c r="S1" s="49"/>
      <x:c r="T1" s="49"/>
      <x:c r="U1" s="49"/>
      <x:c r="V1" s="49"/>
      <x:c r="W1" s="49"/>
      <x:c r="X1" s="49"/>
      <x:c r="Y1" s="49"/>
      <x:c r="Z1" s="49"/>
    </x:row>
    <x:row r="2">
      <x:c r="A2" s="48"/>
      <x:c r="B2" s="48"/>
      <x:c r="C2" s="48"/>
      <x:c r="D2" s="48"/>
      <x:c r="E2" s="48"/>
      <x:c r="F2" s="48"/>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58" t="str">
        <x:v>Policy Code</x:v>
      </x:c>
      <x:c r="B4" s="58" t="str">
        <x:v>Rule</x:v>
      </x:c>
      <x:c r="C4" s="58" t="str">
        <x:v>Value</x:v>
      </x:c>
      <x:c r="D4" s="49"/>
      <x:c r="E4" s="49"/>
      <x:c r="F4" s="49"/>
      <x:c r="G4" s="49"/>
      <x:c r="H4" s="49"/>
      <x:c r="I4" s="49"/>
      <x:c r="J4" s="49"/>
      <x:c r="K4" s="49"/>
      <x:c r="L4" s="49"/>
      <x:c r="M4" s="49"/>
      <x:c r="N4" s="49"/>
      <x:c r="O4" s="49"/>
      <x:c r="P4" s="49"/>
      <x:c r="Q4" s="49"/>
      <x:c r="R4" s="49"/>
      <x:c r="S4" s="49"/>
      <x:c r="T4" s="49"/>
      <x:c r="U4" s="49"/>
      <x:c r="V4" s="49"/>
      <x:c r="W4" s="49"/>
      <x:c r="X4" s="49"/>
      <x:c r="Y4" s="49"/>
      <x:c r="Z4" s="49"/>
    </x:row>
    <x:row r="5">
      <x:c r="A5" s="51" t="str">
        <x:v>PIOS-AI-GOV-001</x:v>
      </x:c>
      <x:c r="B5" s="51" t="str">
        <x:v>Status</x:v>
      </x:c>
      <x:c r="C5" s="51" t="str">
        <x:v>Effective</x:v>
      </x:c>
      <x:c r="D5" s="49"/>
      <x:c r="E5" s="49"/>
      <x:c r="F5" s="49"/>
      <x:c r="G5" s="49"/>
      <x:c r="H5" s="49"/>
      <x:c r="I5" s="49"/>
      <x:c r="J5" s="49"/>
      <x:c r="K5" s="49"/>
      <x:c r="L5" s="49"/>
      <x:c r="M5" s="49"/>
      <x:c r="N5" s="49"/>
      <x:c r="O5" s="49"/>
      <x:c r="P5" s="49"/>
      <x:c r="Q5" s="49"/>
      <x:c r="R5" s="49"/>
      <x:c r="S5" s="49"/>
      <x:c r="T5" s="49"/>
      <x:c r="U5" s="49"/>
      <x:c r="V5" s="49"/>
      <x:c r="W5" s="49"/>
      <x:c r="X5" s="49"/>
      <x:c r="Y5" s="49"/>
      <x:c r="Z5" s="49"/>
    </x:row>
    <x:row r="6">
      <x:c r="A6" s="51" t="str">
        <x:v>PIOS-AI-GOV-001</x:v>
      </x:c>
      <x:c r="B6" s="51" t="str">
        <x:v>Human Review Required</x:v>
      </x:c>
      <x:c r="C6" s="59" t="b">
        <x:v>1</x:v>
      </x:c>
      <x:c r="D6" s="49"/>
      <x:c r="E6" s="49"/>
      <x:c r="F6" s="49"/>
      <x:c r="G6" s="49"/>
      <x:c r="H6" s="49"/>
      <x:c r="I6" s="49"/>
      <x:c r="J6" s="49"/>
      <x:c r="K6" s="49"/>
      <x:c r="L6" s="49"/>
      <x:c r="M6" s="49"/>
      <x:c r="N6" s="49"/>
      <x:c r="O6" s="49"/>
      <x:c r="P6" s="49"/>
      <x:c r="Q6" s="49"/>
      <x:c r="R6" s="49"/>
      <x:c r="S6" s="49"/>
      <x:c r="T6" s="49"/>
      <x:c r="U6" s="49"/>
      <x:c r="V6" s="49"/>
      <x:c r="W6" s="49"/>
      <x:c r="X6" s="49"/>
      <x:c r="Y6" s="49"/>
      <x:c r="Z6" s="49"/>
    </x:row>
    <x:row r="7">
      <x:c r="A7" s="51" t="str">
        <x:v>PIOS-AI-GOV-001</x:v>
      </x:c>
      <x:c r="B7" s="51" t="str">
        <x:v>Auto Execute</x:v>
      </x:c>
      <x:c r="C7" s="59" t="b">
        <x:v>0</x:v>
      </x:c>
      <x:c r="D7" s="49"/>
      <x:c r="E7" s="49"/>
      <x:c r="F7" s="49"/>
      <x:c r="G7" s="49"/>
      <x:c r="H7" s="49"/>
      <x:c r="I7" s="49"/>
      <x:c r="J7" s="49"/>
      <x:c r="K7" s="49"/>
      <x:c r="L7" s="49"/>
      <x:c r="M7" s="49"/>
      <x:c r="N7" s="49"/>
      <x:c r="O7" s="49"/>
      <x:c r="P7" s="49"/>
      <x:c r="Q7" s="49"/>
      <x:c r="R7" s="49"/>
      <x:c r="S7" s="49"/>
      <x:c r="T7" s="49"/>
      <x:c r="U7" s="49"/>
      <x:c r="V7" s="49"/>
      <x:c r="W7" s="49"/>
      <x:c r="X7" s="49"/>
      <x:c r="Y7" s="49"/>
      <x:c r="Z7" s="49"/>
    </x:row>
    <x:row r="8">
      <x:c r="A8" s="51" t="str">
        <x:v>PIOS-AI-GOV-001</x:v>
      </x:c>
      <x:c r="B8" s="51" t="str">
        <x:v>Allowed</x:v>
      </x:c>
      <x:c r="C8" s="51" t="str">
        <x:v>RiskSummarization</x:v>
      </x:c>
      <x:c r="D8" s="49"/>
      <x:c r="E8" s="49"/>
      <x:c r="F8" s="49"/>
      <x:c r="G8" s="49"/>
      <x:c r="H8" s="49"/>
      <x:c r="I8" s="49"/>
      <x:c r="J8" s="49"/>
      <x:c r="K8" s="49"/>
      <x:c r="L8" s="49"/>
      <x:c r="M8" s="49"/>
      <x:c r="N8" s="49"/>
      <x:c r="O8" s="49"/>
      <x:c r="P8" s="49"/>
      <x:c r="Q8" s="49"/>
      <x:c r="R8" s="49"/>
      <x:c r="S8" s="49"/>
      <x:c r="T8" s="49"/>
      <x:c r="U8" s="49"/>
      <x:c r="V8" s="49"/>
      <x:c r="W8" s="49"/>
      <x:c r="X8" s="49"/>
      <x:c r="Y8" s="49"/>
      <x:c r="Z8" s="49"/>
    </x:row>
    <x:row r="9">
      <x:c r="A9" s="51" t="str">
        <x:v>PIOS-AI-GOV-001</x:v>
      </x:c>
      <x:c r="B9" s="51" t="str">
        <x:v>Allowed</x:v>
      </x:c>
      <x:c r="C9" s="51" t="str">
        <x:v>EvidenceGapSuggestion</x:v>
      </x:c>
      <x:c r="D9" s="49"/>
      <x:c r="E9" s="49"/>
      <x:c r="F9" s="49"/>
      <x:c r="G9" s="49"/>
      <x:c r="H9" s="49"/>
      <x:c r="I9" s="49"/>
      <x:c r="J9" s="49"/>
      <x:c r="K9" s="49"/>
      <x:c r="L9" s="49"/>
      <x:c r="M9" s="49"/>
      <x:c r="N9" s="49"/>
      <x:c r="O9" s="49"/>
      <x:c r="P9" s="49"/>
      <x:c r="Q9" s="49"/>
      <x:c r="R9" s="49"/>
      <x:c r="S9" s="49"/>
      <x:c r="T9" s="49"/>
      <x:c r="U9" s="49"/>
      <x:c r="V9" s="49"/>
      <x:c r="W9" s="49"/>
      <x:c r="X9" s="49"/>
      <x:c r="Y9" s="49"/>
      <x:c r="Z9" s="49"/>
    </x:row>
    <x:row r="10">
      <x:c r="A10" s="51" t="str">
        <x:v>PIOS-AI-GOV-001</x:v>
      </x:c>
      <x:c r="B10" s="51" t="str">
        <x:v>Allowed</x:v>
      </x:c>
      <x:c r="C10" s="51" t="str">
        <x:v>CAPAPlanningSupport</x:v>
      </x:c>
      <x:c r="D10" s="49"/>
      <x:c r="E10" s="49"/>
      <x:c r="F10" s="49"/>
      <x:c r="G10" s="49"/>
      <x:c r="H10" s="49"/>
      <x:c r="I10" s="49"/>
      <x:c r="J10" s="49"/>
      <x:c r="K10" s="49"/>
      <x:c r="L10" s="49"/>
      <x:c r="M10" s="49"/>
      <x:c r="N10" s="49"/>
      <x:c r="O10" s="49"/>
      <x:c r="P10" s="49"/>
      <x:c r="Q10" s="49"/>
      <x:c r="R10" s="49"/>
      <x:c r="S10" s="49"/>
      <x:c r="T10" s="49"/>
      <x:c r="U10" s="49"/>
      <x:c r="V10" s="49"/>
      <x:c r="W10" s="49"/>
      <x:c r="X10" s="49"/>
      <x:c r="Y10" s="49"/>
      <x:c r="Z10" s="49"/>
    </x:row>
    <x:row r="11">
      <x:c r="A11" s="51" t="str">
        <x:v>PIOS-AI-GOV-001</x:v>
      </x:c>
      <x:c r="B11" s="51" t="str">
        <x:v>Prohibited</x:v>
      </x:c>
      <x:c r="C11" s="51" t="str">
        <x:v>ApproveCompliance</x:v>
      </x:c>
      <x:c r="D11" s="49"/>
      <x:c r="E11" s="49"/>
      <x:c r="F11" s="49"/>
      <x:c r="G11" s="49"/>
      <x:c r="H11" s="49"/>
      <x:c r="I11" s="49"/>
      <x:c r="J11" s="49"/>
      <x:c r="K11" s="49"/>
      <x:c r="L11" s="49"/>
      <x:c r="M11" s="49"/>
      <x:c r="N11" s="49"/>
      <x:c r="O11" s="49"/>
      <x:c r="P11" s="49"/>
      <x:c r="Q11" s="49"/>
      <x:c r="R11" s="49"/>
      <x:c r="S11" s="49"/>
      <x:c r="T11" s="49"/>
      <x:c r="U11" s="49"/>
      <x:c r="V11" s="49"/>
      <x:c r="W11" s="49"/>
      <x:c r="X11" s="49"/>
      <x:c r="Y11" s="49"/>
      <x:c r="Z11" s="49"/>
    </x:row>
    <x:row r="12">
      <x:c r="A12" s="51" t="str">
        <x:v>PIOS-AI-GOV-001</x:v>
      </x:c>
      <x:c r="B12" s="51" t="str">
        <x:v>Prohibited</x:v>
      </x:c>
      <x:c r="C12" s="51" t="str">
        <x:v>ApproveNotApplicable</x:v>
      </x:c>
      <x:c r="D12" s="49"/>
      <x:c r="E12" s="49"/>
      <x:c r="F12" s="49"/>
      <x:c r="G12" s="49"/>
      <x:c r="H12" s="49"/>
      <x:c r="I12" s="49"/>
      <x:c r="J12" s="49"/>
      <x:c r="K12" s="49"/>
      <x:c r="L12" s="49"/>
      <x:c r="M12" s="49"/>
      <x:c r="N12" s="49"/>
      <x:c r="O12" s="49"/>
      <x:c r="P12" s="49"/>
      <x:c r="Q12" s="49"/>
      <x:c r="R12" s="49"/>
      <x:c r="S12" s="49"/>
      <x:c r="T12" s="49"/>
      <x:c r="U12" s="49"/>
      <x:c r="V12" s="49"/>
      <x:c r="W12" s="49"/>
      <x:c r="X12" s="49"/>
      <x:c r="Y12" s="49"/>
      <x:c r="Z12" s="49"/>
    </x:row>
    <x:row r="13">
      <x:c r="A13" s="51" t="str">
        <x:v>PIOS-AI-GOV-001</x:v>
      </x:c>
      <x:c r="B13" s="51" t="str">
        <x:v>Prohibited</x:v>
      </x:c>
      <x:c r="C13" s="51" t="str">
        <x:v>SignEvidence</x:v>
      </x:c>
      <x:c r="D13" s="49"/>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51"/>
      <x:c r="B14" s="51"/>
      <x:c r="C14" s="51"/>
      <x:c r="D14" s="49"/>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58" t="str">
        <x:v>Policy Code</x:v>
      </x:c>
      <x:c r="B15" s="58" t="str">
        <x:v>Rule</x:v>
      </x:c>
      <x:c r="C15" s="58" t="str">
        <x:v>Value</x:v>
      </x:c>
      <x:c r="D15" s="49"/>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51" t="str">
        <x:v>PIOS-AI-GOV-001</x:v>
      </x:c>
      <x:c r="B16" s="51" t="str">
        <x:v>Prohibited</x:v>
      </x:c>
      <x:c r="C16" s="51" t="str">
        <x:v>CloseCriticalCAPA</x:v>
      </x:c>
      <x:c r="D16" s="49"/>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51" t="str">
        <x:v>PIOS-AI-GOV-001</x:v>
      </x:c>
      <x:c r="B17" s="51" t="str">
        <x:v>Prohibited</x:v>
      </x:c>
      <x:c r="C17" s="51" t="str">
        <x:v>ChangeKPI</x:v>
      </x:c>
      <x:c r="D17" s="49"/>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51" t="str">
        <x:v>PIOS-AI-GOV-001</x:v>
      </x:c>
      <x:c r="B18" s="51" t="str">
        <x:v>Prohibited</x:v>
      </x:c>
      <x:c r="C18" s="51" t="str">
        <x:v>PublishEvidenceReady</x:v>
      </x:c>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sheetData>
  <x:mergeCells>
    <x:mergeCell ref="A1:F2"/>
  </x:mergeCells>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12" hidden="0" customWidth="1"/>
    <x:col min="4" max="4" width="45" hidden="0" customWidth="1"/>
    <x:col min="5" max="5" width="55" hidden="0" customWidth="1"/>
    <x:col min="6" max="6" width="45" hidden="0" customWidth="1"/>
    <x:col min="7" max="7" width="12" hidden="0" customWidth="1"/>
    <x:col min="8" max="8" width="22" hidden="0" customWidth="1"/>
    <x:col min="9" max="9" width="34" hidden="0" customWidth="1"/>
    <x:col min="10" max="10" width="14" hidden="0" customWidth="1"/>
    <x:col min="11" max="11" width="25" hidden="0" customWidth="1"/>
    <x:col min="12" max="12" width="24" hidden="0" customWidth="1"/>
    <x:col min="13" max="13" width="20" hidden="0" customWidth="1"/>
  </x:cols>
  <x:sheetData>
    <x:row r="1">
      <x:c r="A1" s="48" t="str">
        <x:v>سجل التوصيات غير التنفيذية</x:v>
      </x:c>
      <x:c r="B1" s="48"/>
      <x:c r="C1" s="48"/>
      <x:c r="D1" s="48"/>
      <x:c r="E1" s="48"/>
      <x:c r="F1" s="48"/>
      <x:c r="G1" s="48"/>
      <x:c r="H1" s="48"/>
      <x:c r="I1" s="48"/>
      <x:c r="J1" s="48"/>
      <x:c r="K1" s="48"/>
      <x:c r="L1" s="48"/>
      <x:c r="M1" s="48"/>
      <x:c r="N1" s="49"/>
      <x:c r="O1" s="49"/>
      <x:c r="P1" s="49"/>
      <x:c r="Q1" s="49"/>
      <x:c r="R1" s="49"/>
      <x:c r="S1" s="49"/>
      <x:c r="T1" s="49"/>
      <x:c r="U1" s="49"/>
      <x:c r="V1" s="49"/>
      <x:c r="W1" s="49"/>
      <x:c r="X1" s="49"/>
      <x:c r="Y1" s="49"/>
      <x:c r="Z1" s="49"/>
    </x:row>
    <x:row r="2">
      <x:c r="A2" s="48"/>
      <x:c r="B2" s="48"/>
      <x:c r="C2" s="48"/>
      <x:c r="D2" s="48"/>
      <x:c r="E2" s="48"/>
      <x:c r="F2" s="48"/>
      <x:c r="G2" s="48"/>
      <x:c r="H2" s="48"/>
      <x:c r="I2" s="48"/>
      <x:c r="J2" s="48"/>
      <x:c r="K2" s="48"/>
      <x:c r="L2" s="48"/>
      <x:c r="M2" s="48"/>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58" t="str">
        <x:v>Recommendation ID</x:v>
      </x:c>
      <x:c r="B4" s="58" t="str">
        <x:v>Risk Run</x:v>
      </x:c>
      <x:c r="C4" s="58" t="str">
        <x:v>ME_ID</x:v>
      </x:c>
      <x:c r="D4" s="58" t="str">
        <x:v>Title</x:v>
      </x:c>
      <x:c r="E4" s="58" t="str">
        <x:v>Recommendation</x:v>
      </x:c>
      <x:c r="F4" s="58" t="str">
        <x:v>Rationale</x:v>
      </x:c>
      <x:c r="G4" s="58" t="str">
        <x:v>Confidence</x:v>
      </x:c>
      <x:c r="H4" s="58" t="str">
        <x:v>Model ID</x:v>
      </x:c>
      <x:c r="I4" s="58" t="str">
        <x:v>Prompt Hash</x:v>
      </x:c>
      <x:c r="J4" s="58" t="str">
        <x:v>Guardrail Pass</x:v>
      </x:c>
      <x:c r="K4" s="58" t="str">
        <x:v>Status</x:v>
      </x:c>
      <x:c r="L4" s="58" t="str">
        <x:v>Created By</x:v>
      </x:c>
      <x:c r="M4" s="58" t="str">
        <x:v>Created Date</x:v>
      </x:c>
      <x:c r="N4" s="49"/>
      <x:c r="O4" s="49"/>
      <x:c r="P4" s="49"/>
      <x:c r="Q4" s="49"/>
      <x:c r="R4" s="49"/>
      <x:c r="S4" s="49"/>
      <x:c r="T4" s="49"/>
      <x:c r="U4" s="49"/>
      <x:c r="V4" s="49"/>
      <x:c r="W4" s="49"/>
      <x:c r="X4" s="49"/>
      <x:c r="Y4" s="49"/>
      <x:c r="Z4" s="49"/>
    </x:row>
    <x:row r="5">
      <x:c r="A5" s="51"/>
      <x:c r="B5" s="51"/>
      <x:c r="C5" s="51"/>
      <x:c r="D5" s="51"/>
      <x:c r="E5" s="51"/>
      <x:c r="F5" s="51"/>
      <x:c r="G5" s="62"/>
      <x:c r="H5" s="51" t="str">
        <x:v>rules-engine-v1</x:v>
      </x:c>
      <x:c r="I5" s="51"/>
      <x:c r="J5" s="59" t="b">
        <x:v>1</x:v>
      </x:c>
      <x:c r="K5" s="51"/>
      <x:c r="L5" s="51"/>
      <x:c r="M5" s="52"/>
      <x:c r="N5" s="49"/>
      <x:c r="O5" s="49"/>
      <x:c r="P5" s="49"/>
      <x:c r="Q5" s="49"/>
      <x:c r="R5" s="49"/>
      <x:c r="S5" s="49"/>
      <x:c r="T5" s="49"/>
      <x:c r="U5" s="49"/>
      <x:c r="V5" s="49"/>
      <x:c r="W5" s="49"/>
      <x:c r="X5" s="49"/>
      <x:c r="Y5" s="49"/>
      <x:c r="Z5" s="49"/>
    </x:row>
    <x:row r="6">
      <x:c r="A6" s="51"/>
      <x:c r="B6" s="51"/>
      <x:c r="C6" s="51"/>
      <x:c r="D6" s="51"/>
      <x:c r="E6" s="51"/>
      <x:c r="F6" s="51"/>
      <x:c r="G6" s="62"/>
      <x:c r="H6" s="51" t="str">
        <x:v>rules-engine-v1</x:v>
      </x:c>
      <x:c r="I6" s="51"/>
      <x:c r="J6" s="59" t="b">
        <x:v>1</x:v>
      </x:c>
      <x:c r="K6" s="51"/>
      <x:c r="L6" s="51"/>
      <x:c r="M6" s="52"/>
      <x:c r="N6" s="49"/>
      <x:c r="O6" s="49"/>
      <x:c r="P6" s="49"/>
      <x:c r="Q6" s="49"/>
      <x:c r="R6" s="49"/>
      <x:c r="S6" s="49"/>
      <x:c r="T6" s="49"/>
      <x:c r="U6" s="49"/>
      <x:c r="V6" s="49"/>
      <x:c r="W6" s="49"/>
      <x:c r="X6" s="49"/>
      <x:c r="Y6" s="49"/>
      <x:c r="Z6" s="49"/>
    </x:row>
    <x:row r="7">
      <x:c r="A7" s="51"/>
      <x:c r="B7" s="51"/>
      <x:c r="C7" s="51"/>
      <x:c r="D7" s="51"/>
      <x:c r="E7" s="51"/>
      <x:c r="F7" s="51"/>
      <x:c r="G7" s="62"/>
      <x:c r="H7" s="51" t="str">
        <x:v>rules-engine-v1</x:v>
      </x:c>
      <x:c r="I7" s="51"/>
      <x:c r="J7" s="59" t="b">
        <x:v>1</x:v>
      </x:c>
      <x:c r="K7" s="51"/>
      <x:c r="L7" s="51"/>
      <x:c r="M7" s="52"/>
      <x:c r="N7" s="49"/>
      <x:c r="O7" s="49"/>
      <x:c r="P7" s="49"/>
      <x:c r="Q7" s="49"/>
      <x:c r="R7" s="49"/>
      <x:c r="S7" s="49"/>
      <x:c r="T7" s="49"/>
      <x:c r="U7" s="49"/>
      <x:c r="V7" s="49"/>
      <x:c r="W7" s="49"/>
      <x:c r="X7" s="49"/>
      <x:c r="Y7" s="49"/>
      <x:c r="Z7" s="49"/>
    </x:row>
    <x:row r="8">
      <x:c r="A8" s="51"/>
      <x:c r="B8" s="51"/>
      <x:c r="C8" s="51"/>
      <x:c r="D8" s="51"/>
      <x:c r="E8" s="51"/>
      <x:c r="F8" s="51"/>
      <x:c r="G8" s="62"/>
      <x:c r="H8" s="51" t="str">
        <x:v>rules-engine-v1</x:v>
      </x:c>
      <x:c r="I8" s="51"/>
      <x:c r="J8" s="59" t="b">
        <x:v>1</x:v>
      </x:c>
      <x:c r="K8" s="51"/>
      <x:c r="L8" s="51"/>
      <x:c r="M8" s="52"/>
      <x:c r="N8" s="49"/>
      <x:c r="O8" s="49"/>
      <x:c r="P8" s="49"/>
      <x:c r="Q8" s="49"/>
      <x:c r="R8" s="49"/>
      <x:c r="S8" s="49"/>
      <x:c r="T8" s="49"/>
      <x:c r="U8" s="49"/>
      <x:c r="V8" s="49"/>
      <x:c r="W8" s="49"/>
      <x:c r="X8" s="49"/>
      <x:c r="Y8" s="49"/>
      <x:c r="Z8" s="49"/>
    </x:row>
    <x:row r="9">
      <x:c r="A9" s="51"/>
      <x:c r="B9" s="51"/>
      <x:c r="C9" s="51"/>
      <x:c r="D9" s="51"/>
      <x:c r="E9" s="51"/>
      <x:c r="F9" s="51"/>
      <x:c r="G9" s="62"/>
      <x:c r="H9" s="51" t="str">
        <x:v>rules-engine-v1</x:v>
      </x:c>
      <x:c r="I9" s="51"/>
      <x:c r="J9" s="59" t="b">
        <x:v>1</x:v>
      </x:c>
      <x:c r="K9" s="51"/>
      <x:c r="L9" s="51"/>
      <x:c r="M9" s="52"/>
      <x:c r="N9" s="49"/>
      <x:c r="O9" s="49"/>
      <x:c r="P9" s="49"/>
      <x:c r="Q9" s="49"/>
      <x:c r="R9" s="49"/>
      <x:c r="S9" s="49"/>
      <x:c r="T9" s="49"/>
      <x:c r="U9" s="49"/>
      <x:c r="V9" s="49"/>
      <x:c r="W9" s="49"/>
      <x:c r="X9" s="49"/>
      <x:c r="Y9" s="49"/>
      <x:c r="Z9" s="49"/>
    </x:row>
    <x:row r="10">
      <x:c r="A10" s="51"/>
      <x:c r="B10" s="51"/>
      <x:c r="C10" s="51"/>
      <x:c r="D10" s="51"/>
      <x:c r="E10" s="51"/>
      <x:c r="F10" s="51"/>
      <x:c r="G10" s="62"/>
      <x:c r="H10" s="51" t="str">
        <x:v>rules-engine-v1</x:v>
      </x:c>
      <x:c r="I10" s="51"/>
      <x:c r="J10" s="59" t="b">
        <x:v>1</x:v>
      </x:c>
      <x:c r="K10" s="51"/>
      <x:c r="L10" s="51"/>
      <x:c r="M10" s="52"/>
      <x:c r="N10" s="49"/>
      <x:c r="O10" s="49"/>
      <x:c r="P10" s="49"/>
      <x:c r="Q10" s="49"/>
      <x:c r="R10" s="49"/>
      <x:c r="S10" s="49"/>
      <x:c r="T10" s="49"/>
      <x:c r="U10" s="49"/>
      <x:c r="V10" s="49"/>
      <x:c r="W10" s="49"/>
      <x:c r="X10" s="49"/>
      <x:c r="Y10" s="49"/>
      <x:c r="Z10" s="49"/>
    </x:row>
    <x:row r="11">
      <x:c r="A11" s="51"/>
      <x:c r="B11" s="51"/>
      <x:c r="C11" s="51"/>
      <x:c r="D11" s="51"/>
      <x:c r="E11" s="51"/>
      <x:c r="F11" s="51"/>
      <x:c r="G11" s="62"/>
      <x:c r="H11" s="51" t="str">
        <x:v>rules-engine-v1</x:v>
      </x:c>
      <x:c r="I11" s="51"/>
      <x:c r="J11" s="59" t="b">
        <x:v>1</x:v>
      </x:c>
      <x:c r="K11" s="51"/>
      <x:c r="L11" s="51"/>
      <x:c r="M11" s="52"/>
      <x:c r="N11" s="49"/>
      <x:c r="O11" s="49"/>
      <x:c r="P11" s="49"/>
      <x:c r="Q11" s="49"/>
      <x:c r="R11" s="49"/>
      <x:c r="S11" s="49"/>
      <x:c r="T11" s="49"/>
      <x:c r="U11" s="49"/>
      <x:c r="V11" s="49"/>
      <x:c r="W11" s="49"/>
      <x:c r="X11" s="49"/>
      <x:c r="Y11" s="49"/>
      <x:c r="Z11" s="49"/>
    </x:row>
    <x:row r="12">
      <x:c r="A12" s="51"/>
      <x:c r="B12" s="51"/>
      <x:c r="C12" s="51"/>
      <x:c r="D12" s="51"/>
      <x:c r="E12" s="51"/>
      <x:c r="F12" s="51"/>
      <x:c r="G12" s="62"/>
      <x:c r="H12" s="51" t="str">
        <x:v>rules-engine-v1</x:v>
      </x:c>
      <x:c r="I12" s="51"/>
      <x:c r="J12" s="59" t="b">
        <x:v>1</x:v>
      </x:c>
      <x:c r="K12" s="51"/>
      <x:c r="L12" s="51"/>
      <x:c r="M12" s="52"/>
      <x:c r="N12" s="49"/>
      <x:c r="O12" s="49"/>
      <x:c r="P12" s="49"/>
      <x:c r="Q12" s="49"/>
      <x:c r="R12" s="49"/>
      <x:c r="S12" s="49"/>
      <x:c r="T12" s="49"/>
      <x:c r="U12" s="49"/>
      <x:c r="V12" s="49"/>
      <x:c r="W12" s="49"/>
      <x:c r="X12" s="49"/>
      <x:c r="Y12" s="49"/>
      <x:c r="Z12" s="49"/>
    </x:row>
    <x:row r="13">
      <x:c r="A13" s="51"/>
      <x:c r="B13" s="51"/>
      <x:c r="C13" s="51"/>
      <x:c r="D13" s="51"/>
      <x:c r="E13" s="51"/>
      <x:c r="F13" s="51"/>
      <x:c r="G13" s="62"/>
      <x:c r="H13" s="51" t="str">
        <x:v>rules-engine-v1</x:v>
      </x:c>
      <x:c r="I13" s="51"/>
      <x:c r="J13" s="59" t="b">
        <x:v>1</x:v>
      </x:c>
      <x:c r="K13" s="51"/>
      <x:c r="L13" s="51"/>
      <x:c r="M13" s="52"/>
      <x:c r="N13" s="49"/>
      <x:c r="O13" s="49"/>
      <x:c r="P13" s="49"/>
      <x:c r="Q13" s="49"/>
      <x:c r="R13" s="49"/>
      <x:c r="S13" s="49"/>
      <x:c r="T13" s="49"/>
      <x:c r="U13" s="49"/>
      <x:c r="V13" s="49"/>
      <x:c r="W13" s="49"/>
      <x:c r="X13" s="49"/>
      <x:c r="Y13" s="49"/>
      <x:c r="Z13" s="49"/>
    </x:row>
    <x:row r="14">
      <x:c r="A14" s="51"/>
      <x:c r="B14" s="51"/>
      <x:c r="C14" s="51"/>
      <x:c r="D14" s="51"/>
      <x:c r="E14" s="51"/>
      <x:c r="F14" s="51"/>
      <x:c r="G14" s="62"/>
      <x:c r="H14" s="51" t="str">
        <x:v>rules-engine-v1</x:v>
      </x:c>
      <x:c r="I14" s="51"/>
      <x:c r="J14" s="59" t="b">
        <x:v>1</x:v>
      </x:c>
      <x:c r="K14" s="51"/>
      <x:c r="L14" s="51"/>
      <x:c r="M14" s="52"/>
      <x:c r="N14" s="49"/>
      <x:c r="O14" s="49"/>
      <x:c r="P14" s="49"/>
      <x:c r="Q14" s="49"/>
      <x:c r="R14" s="49"/>
      <x:c r="S14" s="49"/>
      <x:c r="T14" s="49"/>
      <x:c r="U14" s="49"/>
      <x:c r="V14" s="49"/>
      <x:c r="W14" s="49"/>
      <x:c r="X14" s="49"/>
      <x:c r="Y14" s="49"/>
      <x:c r="Z14" s="49"/>
    </x:row>
    <x:row r="15">
      <x:c r="A15" s="51"/>
      <x:c r="B15" s="51"/>
      <x:c r="C15" s="51"/>
      <x:c r="D15" s="51"/>
      <x:c r="E15" s="51"/>
      <x:c r="F15" s="51"/>
      <x:c r="G15" s="62"/>
      <x:c r="H15" s="51" t="str">
        <x:v>rules-engine-v1</x:v>
      </x:c>
      <x:c r="I15" s="51"/>
      <x:c r="J15" s="59" t="b">
        <x:v>1</x:v>
      </x:c>
      <x:c r="K15" s="51"/>
      <x:c r="L15" s="51"/>
      <x:c r="M15" s="52"/>
      <x:c r="N15" s="49"/>
      <x:c r="O15" s="49"/>
      <x:c r="P15" s="49"/>
      <x:c r="Q15" s="49"/>
      <x:c r="R15" s="49"/>
      <x:c r="S15" s="49"/>
      <x:c r="T15" s="49"/>
      <x:c r="U15" s="49"/>
      <x:c r="V15" s="49"/>
      <x:c r="W15" s="49"/>
      <x:c r="X15" s="49"/>
      <x:c r="Y15" s="49"/>
      <x:c r="Z15" s="49"/>
    </x:row>
    <x:row r="16">
      <x:c r="A16" s="51"/>
      <x:c r="B16" s="51"/>
      <x:c r="C16" s="51"/>
      <x:c r="D16" s="51"/>
      <x:c r="E16" s="51"/>
      <x:c r="F16" s="51"/>
      <x:c r="G16" s="62"/>
      <x:c r="H16" s="51" t="str">
        <x:v>rules-engine-v1</x:v>
      </x:c>
      <x:c r="I16" s="51"/>
      <x:c r="J16" s="59" t="b">
        <x:v>1</x:v>
      </x:c>
      <x:c r="K16" s="51"/>
      <x:c r="L16" s="51"/>
      <x:c r="M16" s="52"/>
      <x:c r="N16" s="49"/>
      <x:c r="O16" s="49"/>
      <x:c r="P16" s="49"/>
      <x:c r="Q16" s="49"/>
      <x:c r="R16" s="49"/>
      <x:c r="S16" s="49"/>
      <x:c r="T16" s="49"/>
      <x:c r="U16" s="49"/>
      <x:c r="V16" s="49"/>
      <x:c r="W16" s="49"/>
      <x:c r="X16" s="49"/>
      <x:c r="Y16" s="49"/>
      <x:c r="Z16" s="49"/>
    </x:row>
    <x:row r="17">
      <x:c r="A17" s="51"/>
      <x:c r="B17" s="51"/>
      <x:c r="C17" s="51"/>
      <x:c r="D17" s="51"/>
      <x:c r="E17" s="51"/>
      <x:c r="F17" s="51"/>
      <x:c r="G17" s="62"/>
      <x:c r="H17" s="51" t="str">
        <x:v>rules-engine-v1</x:v>
      </x:c>
      <x:c r="I17" s="51"/>
      <x:c r="J17" s="59" t="b">
        <x:v>1</x:v>
      </x:c>
      <x:c r="K17" s="51"/>
      <x:c r="L17" s="51"/>
      <x:c r="M17" s="52"/>
      <x:c r="N17" s="49"/>
      <x:c r="O17" s="49"/>
      <x:c r="P17" s="49"/>
      <x:c r="Q17" s="49"/>
      <x:c r="R17" s="49"/>
      <x:c r="S17" s="49"/>
      <x:c r="T17" s="49"/>
      <x:c r="U17" s="49"/>
      <x:c r="V17" s="49"/>
      <x:c r="W17" s="49"/>
      <x:c r="X17" s="49"/>
      <x:c r="Y17" s="49"/>
      <x:c r="Z17" s="49"/>
    </x:row>
    <x:row r="18">
      <x:c r="A18" s="51"/>
      <x:c r="B18" s="51"/>
      <x:c r="C18" s="51"/>
      <x:c r="D18" s="51"/>
      <x:c r="E18" s="51"/>
      <x:c r="F18" s="51"/>
      <x:c r="G18" s="62"/>
      <x:c r="H18" s="51" t="str">
        <x:v>rules-engine-v1</x:v>
      </x:c>
      <x:c r="I18" s="51"/>
      <x:c r="J18" s="59" t="b">
        <x:v>1</x:v>
      </x:c>
      <x:c r="K18" s="51"/>
      <x:c r="L18" s="51"/>
      <x:c r="M18" s="52"/>
      <x:c r="N18" s="49"/>
      <x:c r="O18" s="49"/>
      <x:c r="P18" s="49"/>
      <x:c r="Q18" s="49"/>
      <x:c r="R18" s="49"/>
      <x:c r="S18" s="49"/>
      <x:c r="T18" s="49"/>
      <x:c r="U18" s="49"/>
      <x:c r="V18" s="49"/>
      <x:c r="W18" s="49"/>
      <x:c r="X18" s="49"/>
      <x:c r="Y18" s="49"/>
      <x:c r="Z18" s="49"/>
    </x:row>
    <x:row r="19">
      <x:c r="A19" s="51"/>
      <x:c r="B19" s="51"/>
      <x:c r="C19" s="51"/>
      <x:c r="D19" s="51"/>
      <x:c r="E19" s="51"/>
      <x:c r="F19" s="51"/>
      <x:c r="G19" s="62"/>
      <x:c r="H19" s="51" t="str">
        <x:v>rules-engine-v1</x:v>
      </x:c>
      <x:c r="I19" s="51"/>
      <x:c r="J19" s="59" t="b">
        <x:v>1</x:v>
      </x:c>
      <x:c r="K19" s="51"/>
      <x:c r="L19" s="51"/>
      <x:c r="M19" s="52"/>
      <x:c r="N19" s="49"/>
      <x:c r="O19" s="49"/>
      <x:c r="P19" s="49"/>
      <x:c r="Q19" s="49"/>
      <x:c r="R19" s="49"/>
      <x:c r="S19" s="49"/>
      <x:c r="T19" s="49"/>
      <x:c r="U19" s="49"/>
      <x:c r="V19" s="49"/>
      <x:c r="W19" s="49"/>
      <x:c r="X19" s="49"/>
      <x:c r="Y19" s="49"/>
      <x:c r="Z19" s="49"/>
    </x:row>
    <x:row r="20">
      <x:c r="A20" s="51"/>
      <x:c r="B20" s="51"/>
      <x:c r="C20" s="51"/>
      <x:c r="D20" s="51"/>
      <x:c r="E20" s="51"/>
      <x:c r="F20" s="51"/>
      <x:c r="G20" s="62"/>
      <x:c r="H20" s="51" t="str">
        <x:v>rules-engine-v1</x:v>
      </x:c>
      <x:c r="I20" s="51"/>
      <x:c r="J20" s="59" t="b">
        <x:v>1</x:v>
      </x:c>
      <x:c r="K20" s="51"/>
      <x:c r="L20" s="51"/>
      <x:c r="M20" s="52"/>
      <x:c r="N20" s="49"/>
      <x:c r="O20" s="49"/>
      <x:c r="P20" s="49"/>
      <x:c r="Q20" s="49"/>
      <x:c r="R20" s="49"/>
      <x:c r="S20" s="49"/>
      <x:c r="T20" s="49"/>
      <x:c r="U20" s="49"/>
      <x:c r="V20" s="49"/>
      <x:c r="W20" s="49"/>
      <x:c r="X20" s="49"/>
      <x:c r="Y20" s="49"/>
      <x:c r="Z20" s="49"/>
    </x:row>
    <x:row r="21">
      <x:c r="A21" s="51"/>
      <x:c r="B21" s="51"/>
      <x:c r="C21" s="51"/>
      <x:c r="D21" s="51"/>
      <x:c r="E21" s="51"/>
      <x:c r="F21" s="51"/>
      <x:c r="G21" s="62"/>
      <x:c r="H21" s="51" t="str">
        <x:v>rules-engine-v1</x:v>
      </x:c>
      <x:c r="I21" s="51"/>
      <x:c r="J21" s="59" t="b">
        <x:v>1</x:v>
      </x:c>
      <x:c r="K21" s="51"/>
      <x:c r="L21" s="51"/>
      <x:c r="M21" s="52"/>
      <x:c r="N21" s="49"/>
      <x:c r="O21" s="49"/>
      <x:c r="P21" s="49"/>
      <x:c r="Q21" s="49"/>
      <x:c r="R21" s="49"/>
      <x:c r="S21" s="49"/>
      <x:c r="T21" s="49"/>
      <x:c r="U21" s="49"/>
      <x:c r="V21" s="49"/>
      <x:c r="W21" s="49"/>
      <x:c r="X21" s="49"/>
      <x:c r="Y21" s="49"/>
      <x:c r="Z21" s="49"/>
    </x:row>
    <x:row r="22">
      <x:c r="A22" s="51"/>
      <x:c r="B22" s="51"/>
      <x:c r="C22" s="51"/>
      <x:c r="D22" s="51"/>
      <x:c r="E22" s="51"/>
      <x:c r="F22" s="51"/>
      <x:c r="G22" s="62"/>
      <x:c r="H22" s="51" t="str">
        <x:v>rules-engine-v1</x:v>
      </x:c>
      <x:c r="I22" s="51"/>
      <x:c r="J22" s="59" t="b">
        <x:v>1</x:v>
      </x:c>
      <x:c r="K22" s="51"/>
      <x:c r="L22" s="51"/>
      <x:c r="M22" s="52"/>
      <x:c r="N22" s="49"/>
      <x:c r="O22" s="49"/>
      <x:c r="P22" s="49"/>
      <x:c r="Q22" s="49"/>
      <x:c r="R22" s="49"/>
      <x:c r="S22" s="49"/>
      <x:c r="T22" s="49"/>
      <x:c r="U22" s="49"/>
      <x:c r="V22" s="49"/>
      <x:c r="W22" s="49"/>
      <x:c r="X22" s="49"/>
      <x:c r="Y22" s="49"/>
      <x:c r="Z22" s="49"/>
    </x:row>
    <x:row r="23">
      <x:c r="A23" s="51"/>
      <x:c r="B23" s="51"/>
      <x:c r="C23" s="51"/>
      <x:c r="D23" s="51"/>
      <x:c r="E23" s="51"/>
      <x:c r="F23" s="51"/>
      <x:c r="G23" s="62"/>
      <x:c r="H23" s="51" t="str">
        <x:v>rules-engine-v1</x:v>
      </x:c>
      <x:c r="I23" s="51"/>
      <x:c r="J23" s="59" t="b">
        <x:v>1</x:v>
      </x:c>
      <x:c r="K23" s="51"/>
      <x:c r="L23" s="51"/>
      <x:c r="M23" s="52"/>
      <x:c r="N23" s="49"/>
      <x:c r="O23" s="49"/>
      <x:c r="P23" s="49"/>
      <x:c r="Q23" s="49"/>
      <x:c r="R23" s="49"/>
      <x:c r="S23" s="49"/>
      <x:c r="T23" s="49"/>
      <x:c r="U23" s="49"/>
      <x:c r="V23" s="49"/>
      <x:c r="W23" s="49"/>
      <x:c r="X23" s="49"/>
      <x:c r="Y23" s="49"/>
      <x:c r="Z23" s="49"/>
    </x:row>
    <x:row r="24">
      <x:c r="A24" s="51"/>
      <x:c r="B24" s="51"/>
      <x:c r="C24" s="51"/>
      <x:c r="D24" s="51"/>
      <x:c r="E24" s="51"/>
      <x:c r="F24" s="51"/>
      <x:c r="G24" s="62"/>
      <x:c r="H24" s="51" t="str">
        <x:v>rules-engine-v1</x:v>
      </x:c>
      <x:c r="I24" s="51"/>
      <x:c r="J24" s="59" t="b">
        <x:v>1</x:v>
      </x:c>
      <x:c r="K24" s="51"/>
      <x:c r="L24" s="51"/>
      <x:c r="M24" s="52"/>
      <x:c r="N24" s="49"/>
      <x:c r="O24" s="49"/>
      <x:c r="P24" s="49"/>
      <x:c r="Q24" s="49"/>
      <x:c r="R24" s="49"/>
      <x:c r="S24" s="49"/>
      <x:c r="T24" s="49"/>
      <x:c r="U24" s="49"/>
      <x:c r="V24" s="49"/>
      <x:c r="W24" s="49"/>
      <x:c r="X24" s="49"/>
      <x:c r="Y24" s="49"/>
      <x:c r="Z24" s="49"/>
    </x:row>
    <x:row r="25">
      <x:c r="A25" s="51"/>
      <x:c r="B25" s="51"/>
      <x:c r="C25" s="51"/>
      <x:c r="D25" s="51"/>
      <x:c r="E25" s="51"/>
      <x:c r="F25" s="51"/>
      <x:c r="G25" s="62"/>
      <x:c r="H25" s="51" t="str">
        <x:v>rules-engine-v1</x:v>
      </x:c>
      <x:c r="I25" s="51"/>
      <x:c r="J25" s="59" t="b">
        <x:v>1</x:v>
      </x:c>
      <x:c r="K25" s="51"/>
      <x:c r="L25" s="51"/>
      <x:c r="M25" s="52"/>
      <x:c r="N25" s="49"/>
      <x:c r="O25" s="49"/>
      <x:c r="P25" s="49"/>
      <x:c r="Q25" s="49"/>
      <x:c r="R25" s="49"/>
      <x:c r="S25" s="49"/>
      <x:c r="T25" s="49"/>
      <x:c r="U25" s="49"/>
      <x:c r="V25" s="49"/>
      <x:c r="W25" s="49"/>
      <x:c r="X25" s="49"/>
      <x:c r="Y25" s="49"/>
      <x:c r="Z25" s="49"/>
    </x:row>
    <x:row r="26">
      <x:c r="A26" s="51"/>
      <x:c r="B26" s="51"/>
      <x:c r="C26" s="51"/>
      <x:c r="D26" s="51"/>
      <x:c r="E26" s="51"/>
      <x:c r="F26" s="51"/>
      <x:c r="G26" s="62"/>
      <x:c r="H26" s="51" t="str">
        <x:v>rules-engine-v1</x:v>
      </x:c>
      <x:c r="I26" s="51"/>
      <x:c r="J26" s="59" t="b">
        <x:v>1</x:v>
      </x:c>
      <x:c r="K26" s="51"/>
      <x:c r="L26" s="51"/>
      <x:c r="M26" s="52"/>
      <x:c r="N26" s="49"/>
      <x:c r="O26" s="49"/>
      <x:c r="P26" s="49"/>
      <x:c r="Q26" s="49"/>
      <x:c r="R26" s="49"/>
      <x:c r="S26" s="49"/>
      <x:c r="T26" s="49"/>
      <x:c r="U26" s="49"/>
      <x:c r="V26" s="49"/>
      <x:c r="W26" s="49"/>
      <x:c r="X26" s="49"/>
      <x:c r="Y26" s="49"/>
      <x:c r="Z26" s="49"/>
    </x:row>
    <x:row r="27">
      <x:c r="A27" s="51"/>
      <x:c r="B27" s="51"/>
      <x:c r="C27" s="51"/>
      <x:c r="D27" s="51"/>
      <x:c r="E27" s="51"/>
      <x:c r="F27" s="51"/>
      <x:c r="G27" s="62"/>
      <x:c r="H27" s="51" t="str">
        <x:v>rules-engine-v1</x:v>
      </x:c>
      <x:c r="I27" s="51"/>
      <x:c r="J27" s="59" t="b">
        <x:v>1</x:v>
      </x:c>
      <x:c r="K27" s="51"/>
      <x:c r="L27" s="51"/>
      <x:c r="M27" s="52"/>
      <x:c r="N27" s="49"/>
      <x:c r="O27" s="49"/>
      <x:c r="P27" s="49"/>
      <x:c r="Q27" s="49"/>
      <x:c r="R27" s="49"/>
      <x:c r="S27" s="49"/>
      <x:c r="T27" s="49"/>
      <x:c r="U27" s="49"/>
      <x:c r="V27" s="49"/>
      <x:c r="W27" s="49"/>
      <x:c r="X27" s="49"/>
      <x:c r="Y27" s="49"/>
      <x:c r="Z27" s="49"/>
    </x:row>
    <x:row r="28">
      <x:c r="A28" s="51"/>
      <x:c r="B28" s="51"/>
      <x:c r="C28" s="51"/>
      <x:c r="D28" s="51"/>
      <x:c r="E28" s="51"/>
      <x:c r="F28" s="51"/>
      <x:c r="G28" s="62"/>
      <x:c r="H28" s="51" t="str">
        <x:v>rules-engine-v1</x:v>
      </x:c>
      <x:c r="I28" s="51"/>
      <x:c r="J28" s="59" t="b">
        <x:v>1</x:v>
      </x:c>
      <x:c r="K28" s="51"/>
      <x:c r="L28" s="51"/>
      <x:c r="M28" s="52"/>
      <x:c r="N28" s="49"/>
      <x:c r="O28" s="49"/>
      <x:c r="P28" s="49"/>
      <x:c r="Q28" s="49"/>
      <x:c r="R28" s="49"/>
      <x:c r="S28" s="49"/>
      <x:c r="T28" s="49"/>
      <x:c r="U28" s="49"/>
      <x:c r="V28" s="49"/>
      <x:c r="W28" s="49"/>
      <x:c r="X28" s="49"/>
      <x:c r="Y28" s="49"/>
      <x:c r="Z28" s="49"/>
    </x:row>
    <x:row r="29">
      <x:c r="A29" s="51"/>
      <x:c r="B29" s="51"/>
      <x:c r="C29" s="51"/>
      <x:c r="D29" s="51"/>
      <x:c r="E29" s="51"/>
      <x:c r="F29" s="51"/>
      <x:c r="G29" s="62"/>
      <x:c r="H29" s="51" t="str">
        <x:v>rules-engine-v1</x:v>
      </x:c>
      <x:c r="I29" s="51"/>
      <x:c r="J29" s="59" t="b">
        <x:v>1</x:v>
      </x:c>
      <x:c r="K29" s="51"/>
      <x:c r="L29" s="51"/>
      <x:c r="M29" s="52"/>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sheetData>
  <x:mergeCells>
    <x:mergeCell ref="A1:M2"/>
  </x:mergeCells>
  <x:dataValidations count="1">
    <x:dataValidation type="list" sqref="K5:K29">
      <x:formula1>_Lists!$D$2:$D$5</x:formula1>
    </x:dataValidation>
  </x:dataValidations>
  <x:pageMargins left="0.7" right="0.7" top="0.75" bottom="0.75" header="0.3" footer="0.3"/>
  <x:tableParts count="1">
    <x:tablePart xmlns:r="http://schemas.openxmlformats.org/officeDocument/2006/relationships" r:id="Rc85e92dd2c5a440c"/>
  </x:tableParts>
</x:worksheet>
</file>

<file path=xl/worksheets/sheet6.xml><?xml version="1.0" encoding="utf-8"?>
<x:worksheet xmlns:x="http://schemas.openxmlformats.org/spreadsheetml/2006/main">
  <x:sheetFormatPr defaultRowHeight="15"/>
  <x:cols>
    <x:col min="1" max="1" width="20" hidden="0" customWidth="1"/>
    <x:col min="2" max="2" width="12" hidden="0" customWidth="1"/>
    <x:col min="3" max="3" width="22" hidden="0" customWidth="1"/>
    <x:col min="4" max="4" width="55" hidden="0" customWidth="1"/>
    <x:col min="5" max="5" width="25" hidden="0" customWidth="1"/>
    <x:col min="6" max="6" width="20" hidden="0" customWidth="1"/>
    <x:col min="7" max="7" width="30" hidden="0" customWidth="1"/>
    <x:col min="8" max="8" width="15" hidden="0" customWidth="1"/>
    <x:col min="9" max="9" width="18" hidden="0" customWidth="1"/>
    <x:col min="10" max="10" width="22" hidden="0" customWidth="1"/>
  </x:cols>
  <x:sheetData>
    <x:row r="1">
      <x:c r="A1" s="48" t="str">
        <x:v>سجل المراجعة البشرية</x:v>
      </x:c>
      <x:c r="B1" s="48"/>
      <x:c r="C1" s="48"/>
      <x:c r="D1" s="48"/>
      <x:c r="E1" s="48"/>
      <x:c r="F1" s="48"/>
      <x:c r="G1" s="48"/>
      <x:c r="H1" s="48"/>
      <x:c r="I1" s="48"/>
      <x:c r="J1" s="48"/>
      <x:c r="K1" s="49"/>
      <x:c r="L1" s="49"/>
      <x:c r="M1" s="49"/>
      <x:c r="N1" s="49"/>
      <x:c r="O1" s="49"/>
      <x:c r="P1" s="49"/>
      <x:c r="Q1" s="49"/>
      <x:c r="R1" s="49"/>
      <x:c r="S1" s="49"/>
      <x:c r="T1" s="49"/>
      <x:c r="U1" s="49"/>
      <x:c r="V1" s="49"/>
      <x:c r="W1" s="49"/>
      <x:c r="X1" s="49"/>
      <x:c r="Y1" s="49"/>
      <x:c r="Z1" s="49"/>
    </x:row>
    <x:row r="2">
      <x:c r="A2" s="48"/>
      <x:c r="B2" s="48"/>
      <x:c r="C2" s="48"/>
      <x:c r="D2" s="48"/>
      <x:c r="E2" s="48"/>
      <x:c r="F2" s="48"/>
      <x:c r="G2" s="48"/>
      <x:c r="H2" s="48"/>
      <x:c r="I2" s="48"/>
      <x:c r="J2" s="48"/>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58" t="str">
        <x:v>Recommendation ID</x:v>
      </x:c>
      <x:c r="B4" s="58" t="str">
        <x:v>ME_ID</x:v>
      </x:c>
      <x:c r="C4" s="58" t="str">
        <x:v>Decision</x:v>
      </x:c>
      <x:c r="D4" s="58" t="str">
        <x:v>Comment</x:v>
      </x:c>
      <x:c r="E4" s="58" t="str">
        <x:v>Reviewer</x:v>
      </x:c>
      <x:c r="F4" s="58" t="str">
        <x:v>Reviewed Date</x:v>
      </x:c>
      <x:c r="G4" s="58" t="str">
        <x:v>Planning Action Ref</x:v>
      </x:c>
      <x:c r="H4" s="58" t="str">
        <x:v>Auto Executed</x:v>
      </x:c>
      <x:c r="I4" s="58" t="str">
        <x:v>Compliance Approved</x:v>
      </x:c>
      <x:c r="J4" s="58" t="str">
        <x:v>Guardrail Result</x:v>
      </x:c>
      <x:c r="K4" s="49"/>
      <x:c r="L4" s="49"/>
      <x:c r="M4" s="49"/>
      <x:c r="N4" s="49"/>
      <x:c r="O4" s="49"/>
      <x:c r="P4" s="49"/>
      <x:c r="Q4" s="49"/>
      <x:c r="R4" s="49"/>
      <x:c r="S4" s="49"/>
      <x:c r="T4" s="49"/>
      <x:c r="U4" s="49"/>
      <x:c r="V4" s="49"/>
      <x:c r="W4" s="49"/>
      <x:c r="X4" s="49"/>
      <x:c r="Y4" s="49"/>
      <x:c r="Z4" s="49"/>
    </x:row>
    <x:row r="5">
      <x:c r="A5" s="51" t="str"/>
      <x:c r="B5" s="51" t="str"/>
      <x:c r="C5" s="51" t="str"/>
      <x:c r="D5" s="51" t="str"/>
      <x:c r="E5" s="51" t="str"/>
      <x:c r="F5" s="52" t="str"/>
      <x:c r="G5" s="51" t="str"/>
      <x:c r="H5" s="59" t="b">
        <x:v>0</x:v>
      </x:c>
      <x:c r="I5" s="59" t="b">
        <x:v>0</x:v>
      </x:c>
      <x:c r="J5" s="51" t="str">
        <x:v>Pending</x:v>
      </x:c>
      <x:c r="K5" s="49"/>
      <x:c r="L5" s="49"/>
      <x:c r="M5" s="49"/>
      <x:c r="N5" s="49"/>
      <x:c r="O5" s="49"/>
      <x:c r="P5" s="49"/>
      <x:c r="Q5" s="49"/>
      <x:c r="R5" s="49"/>
      <x:c r="S5" s="49"/>
      <x:c r="T5" s="49"/>
      <x:c r="U5" s="49"/>
      <x:c r="V5" s="49"/>
      <x:c r="W5" s="49"/>
      <x:c r="X5" s="49"/>
      <x:c r="Y5" s="49"/>
      <x:c r="Z5" s="49"/>
    </x:row>
    <x:row r="6">
      <x:c r="A6" s="51" t="str"/>
      <x:c r="B6" s="51" t="str"/>
      <x:c r="C6" s="51" t="str"/>
      <x:c r="D6" s="51" t="str"/>
      <x:c r="E6" s="51" t="str"/>
      <x:c r="F6" s="52" t="str"/>
      <x:c r="G6" s="51" t="str"/>
      <x:c r="H6" s="59" t="b">
        <x:v>0</x:v>
      </x:c>
      <x:c r="I6" s="59" t="b">
        <x:v>0</x:v>
      </x:c>
      <x:c r="J6" s="51" t="str">
        <x:v>Pending</x:v>
      </x:c>
      <x:c r="K6" s="49"/>
      <x:c r="L6" s="49"/>
      <x:c r="M6" s="49"/>
      <x:c r="N6" s="49"/>
      <x:c r="O6" s="49"/>
      <x:c r="P6" s="49"/>
      <x:c r="Q6" s="49"/>
      <x:c r="R6" s="49"/>
      <x:c r="S6" s="49"/>
      <x:c r="T6" s="49"/>
      <x:c r="U6" s="49"/>
      <x:c r="V6" s="49"/>
      <x:c r="W6" s="49"/>
      <x:c r="X6" s="49"/>
      <x:c r="Y6" s="49"/>
      <x:c r="Z6" s="49"/>
    </x:row>
    <x:row r="7">
      <x:c r="A7" s="51" t="str"/>
      <x:c r="B7" s="51" t="str"/>
      <x:c r="C7" s="51" t="str"/>
      <x:c r="D7" s="51" t="str"/>
      <x:c r="E7" s="51" t="str"/>
      <x:c r="F7" s="52" t="str"/>
      <x:c r="G7" s="51" t="str"/>
      <x:c r="H7" s="59" t="b">
        <x:v>0</x:v>
      </x:c>
      <x:c r="I7" s="59" t="b">
        <x:v>0</x:v>
      </x:c>
      <x:c r="J7" s="51" t="str">
        <x:v>Pending</x:v>
      </x:c>
      <x:c r="K7" s="49"/>
      <x:c r="L7" s="49"/>
      <x:c r="M7" s="49"/>
      <x:c r="N7" s="49"/>
      <x:c r="O7" s="49"/>
      <x:c r="P7" s="49"/>
      <x:c r="Q7" s="49"/>
      <x:c r="R7" s="49"/>
      <x:c r="S7" s="49"/>
      <x:c r="T7" s="49"/>
      <x:c r="U7" s="49"/>
      <x:c r="V7" s="49"/>
      <x:c r="W7" s="49"/>
      <x:c r="X7" s="49"/>
      <x:c r="Y7" s="49"/>
      <x:c r="Z7" s="49"/>
    </x:row>
    <x:row r="8">
      <x:c r="A8" s="51" t="str"/>
      <x:c r="B8" s="51" t="str"/>
      <x:c r="C8" s="51" t="str"/>
      <x:c r="D8" s="51" t="str"/>
      <x:c r="E8" s="51" t="str"/>
      <x:c r="F8" s="52" t="str"/>
      <x:c r="G8" s="51" t="str"/>
      <x:c r="H8" s="59" t="b">
        <x:v>0</x:v>
      </x:c>
      <x:c r="I8" s="59" t="b">
        <x:v>0</x:v>
      </x:c>
      <x:c r="J8" s="51" t="str">
        <x:v>Pending</x:v>
      </x:c>
      <x:c r="K8" s="49"/>
      <x:c r="L8" s="49"/>
      <x:c r="M8" s="49"/>
      <x:c r="N8" s="49"/>
      <x:c r="O8" s="49"/>
      <x:c r="P8" s="49"/>
      <x:c r="Q8" s="49"/>
      <x:c r="R8" s="49"/>
      <x:c r="S8" s="49"/>
      <x:c r="T8" s="49"/>
      <x:c r="U8" s="49"/>
      <x:c r="V8" s="49"/>
      <x:c r="W8" s="49"/>
      <x:c r="X8" s="49"/>
      <x:c r="Y8" s="49"/>
      <x:c r="Z8" s="49"/>
    </x:row>
    <x:row r="9">
      <x:c r="A9" s="51" t="str"/>
      <x:c r="B9" s="51" t="str"/>
      <x:c r="C9" s="51" t="str"/>
      <x:c r="D9" s="51" t="str"/>
      <x:c r="E9" s="51" t="str"/>
      <x:c r="F9" s="52" t="str"/>
      <x:c r="G9" s="51" t="str"/>
      <x:c r="H9" s="59" t="b">
        <x:v>0</x:v>
      </x:c>
      <x:c r="I9" s="59" t="b">
        <x:v>0</x:v>
      </x:c>
      <x:c r="J9" s="51" t="str">
        <x:v>Pending</x:v>
      </x:c>
      <x:c r="K9" s="49"/>
      <x:c r="L9" s="49"/>
      <x:c r="M9" s="49"/>
      <x:c r="N9" s="49"/>
      <x:c r="O9" s="49"/>
      <x:c r="P9" s="49"/>
      <x:c r="Q9" s="49"/>
      <x:c r="R9" s="49"/>
      <x:c r="S9" s="49"/>
      <x:c r="T9" s="49"/>
      <x:c r="U9" s="49"/>
      <x:c r="V9" s="49"/>
      <x:c r="W9" s="49"/>
      <x:c r="X9" s="49"/>
      <x:c r="Y9" s="49"/>
      <x:c r="Z9" s="49"/>
    </x:row>
    <x:row r="10">
      <x:c r="A10" s="51" t="str"/>
      <x:c r="B10" s="51" t="str"/>
      <x:c r="C10" s="51" t="str"/>
      <x:c r="D10" s="51" t="str"/>
      <x:c r="E10" s="51" t="str"/>
      <x:c r="F10" s="52" t="str"/>
      <x:c r="G10" s="51" t="str"/>
      <x:c r="H10" s="59" t="b">
        <x:v>0</x:v>
      </x:c>
      <x:c r="I10" s="59" t="b">
        <x:v>0</x:v>
      </x:c>
      <x:c r="J10" s="51" t="str">
        <x:v>Pending</x:v>
      </x:c>
      <x:c r="K10" s="49"/>
      <x:c r="L10" s="49"/>
      <x:c r="M10" s="49"/>
      <x:c r="N10" s="49"/>
      <x:c r="O10" s="49"/>
      <x:c r="P10" s="49"/>
      <x:c r="Q10" s="49"/>
      <x:c r="R10" s="49"/>
      <x:c r="S10" s="49"/>
      <x:c r="T10" s="49"/>
      <x:c r="U10" s="49"/>
      <x:c r="V10" s="49"/>
      <x:c r="W10" s="49"/>
      <x:c r="X10" s="49"/>
      <x:c r="Y10" s="49"/>
      <x:c r="Z10" s="49"/>
    </x:row>
    <x:row r="11">
      <x:c r="A11" s="51" t="str"/>
      <x:c r="B11" s="51" t="str"/>
      <x:c r="C11" s="51" t="str"/>
      <x:c r="D11" s="51" t="str"/>
      <x:c r="E11" s="51" t="str"/>
      <x:c r="F11" s="52" t="str"/>
      <x:c r="G11" s="51" t="str"/>
      <x:c r="H11" s="59" t="b">
        <x:v>0</x:v>
      </x:c>
      <x:c r="I11" s="59" t="b">
        <x:v>0</x:v>
      </x:c>
      <x:c r="J11" s="51" t="str">
        <x:v>Pending</x:v>
      </x:c>
      <x:c r="K11" s="49"/>
      <x:c r="L11" s="49"/>
      <x:c r="M11" s="49"/>
      <x:c r="N11" s="49"/>
      <x:c r="O11" s="49"/>
      <x:c r="P11" s="49"/>
      <x:c r="Q11" s="49"/>
      <x:c r="R11" s="49"/>
      <x:c r="S11" s="49"/>
      <x:c r="T11" s="49"/>
      <x:c r="U11" s="49"/>
      <x:c r="V11" s="49"/>
      <x:c r="W11" s="49"/>
      <x:c r="X11" s="49"/>
      <x:c r="Y11" s="49"/>
      <x:c r="Z11" s="49"/>
    </x:row>
    <x:row r="12">
      <x:c r="A12" s="51" t="str"/>
      <x:c r="B12" s="51" t="str"/>
      <x:c r="C12" s="51" t="str"/>
      <x:c r="D12" s="51" t="str"/>
      <x:c r="E12" s="51" t="str"/>
      <x:c r="F12" s="52" t="str"/>
      <x:c r="G12" s="51" t="str"/>
      <x:c r="H12" s="59" t="b">
        <x:v>0</x:v>
      </x:c>
      <x:c r="I12" s="59" t="b">
        <x:v>0</x:v>
      </x:c>
      <x:c r="J12" s="51" t="str">
        <x:v>Pending</x:v>
      </x:c>
      <x:c r="K12" s="49"/>
      <x:c r="L12" s="49"/>
      <x:c r="M12" s="49"/>
      <x:c r="N12" s="49"/>
      <x:c r="O12" s="49"/>
      <x:c r="P12" s="49"/>
      <x:c r="Q12" s="49"/>
      <x:c r="R12" s="49"/>
      <x:c r="S12" s="49"/>
      <x:c r="T12" s="49"/>
      <x:c r="U12" s="49"/>
      <x:c r="V12" s="49"/>
      <x:c r="W12" s="49"/>
      <x:c r="X12" s="49"/>
      <x:c r="Y12" s="49"/>
      <x:c r="Z12" s="49"/>
    </x:row>
    <x:row r="13">
      <x:c r="A13" s="51" t="str"/>
      <x:c r="B13" s="51" t="str"/>
      <x:c r="C13" s="51" t="str"/>
      <x:c r="D13" s="51" t="str"/>
      <x:c r="E13" s="51" t="str"/>
      <x:c r="F13" s="52" t="str"/>
      <x:c r="G13" s="51" t="str"/>
      <x:c r="H13" s="59" t="b">
        <x:v>0</x:v>
      </x:c>
      <x:c r="I13" s="59" t="b">
        <x:v>0</x:v>
      </x:c>
      <x:c r="J13" s="51" t="str">
        <x:v>Pending</x:v>
      </x:c>
      <x:c r="K13" s="49"/>
      <x:c r="L13" s="49"/>
      <x:c r="M13" s="49"/>
      <x:c r="N13" s="49"/>
      <x:c r="O13" s="49"/>
      <x:c r="P13" s="49"/>
      <x:c r="Q13" s="49"/>
      <x:c r="R13" s="49"/>
      <x:c r="S13" s="49"/>
      <x:c r="T13" s="49"/>
      <x:c r="U13" s="49"/>
      <x:c r="V13" s="49"/>
      <x:c r="W13" s="49"/>
      <x:c r="X13" s="49"/>
      <x:c r="Y13" s="49"/>
      <x:c r="Z13" s="49"/>
    </x:row>
    <x:row r="14">
      <x:c r="A14" s="51" t="str"/>
      <x:c r="B14" s="51" t="str"/>
      <x:c r="C14" s="51" t="str"/>
      <x:c r="D14" s="51" t="str"/>
      <x:c r="E14" s="51" t="str"/>
      <x:c r="F14" s="52" t="str"/>
      <x:c r="G14" s="51" t="str"/>
      <x:c r="H14" s="59" t="b">
        <x:v>0</x:v>
      </x:c>
      <x:c r="I14" s="59" t="b">
        <x:v>0</x:v>
      </x:c>
      <x:c r="J14" s="51" t="str">
        <x:v>Pending</x:v>
      </x:c>
      <x:c r="K14" s="49"/>
      <x:c r="L14" s="49"/>
      <x:c r="M14" s="49"/>
      <x:c r="N14" s="49"/>
      <x:c r="O14" s="49"/>
      <x:c r="P14" s="49"/>
      <x:c r="Q14" s="49"/>
      <x:c r="R14" s="49"/>
      <x:c r="S14" s="49"/>
      <x:c r="T14" s="49"/>
      <x:c r="U14" s="49"/>
      <x:c r="V14" s="49"/>
      <x:c r="W14" s="49"/>
      <x:c r="X14" s="49"/>
      <x:c r="Y14" s="49"/>
      <x:c r="Z14" s="49"/>
    </x:row>
    <x:row r="15">
      <x:c r="A15" s="51" t="str"/>
      <x:c r="B15" s="51" t="str"/>
      <x:c r="C15" s="51" t="str"/>
      <x:c r="D15" s="51" t="str"/>
      <x:c r="E15" s="51" t="str"/>
      <x:c r="F15" s="52" t="str"/>
      <x:c r="G15" s="51" t="str"/>
      <x:c r="H15" s="59" t="b">
        <x:v>0</x:v>
      </x:c>
      <x:c r="I15" s="59" t="b">
        <x:v>0</x:v>
      </x:c>
      <x:c r="J15" s="51" t="str">
        <x:v>Pending</x:v>
      </x:c>
      <x:c r="K15" s="49"/>
      <x:c r="L15" s="49"/>
      <x:c r="M15" s="49"/>
      <x:c r="N15" s="49"/>
      <x:c r="O15" s="49"/>
      <x:c r="P15" s="49"/>
      <x:c r="Q15" s="49"/>
      <x:c r="R15" s="49"/>
      <x:c r="S15" s="49"/>
      <x:c r="T15" s="49"/>
      <x:c r="U15" s="49"/>
      <x:c r="V15" s="49"/>
      <x:c r="W15" s="49"/>
      <x:c r="X15" s="49"/>
      <x:c r="Y15" s="49"/>
      <x:c r="Z15" s="49"/>
    </x:row>
    <x:row r="16">
      <x:c r="A16" s="51" t="str"/>
      <x:c r="B16" s="51" t="str"/>
      <x:c r="C16" s="51" t="str"/>
      <x:c r="D16" s="51" t="str"/>
      <x:c r="E16" s="51" t="str"/>
      <x:c r="F16" s="52" t="str"/>
      <x:c r="G16" s="51" t="str"/>
      <x:c r="H16" s="59" t="b">
        <x:v>0</x:v>
      </x:c>
      <x:c r="I16" s="59" t="b">
        <x:v>0</x:v>
      </x:c>
      <x:c r="J16" s="51" t="str">
        <x:v>Pending</x:v>
      </x:c>
      <x:c r="K16" s="49"/>
      <x:c r="L16" s="49"/>
      <x:c r="M16" s="49"/>
      <x:c r="N16" s="49"/>
      <x:c r="O16" s="49"/>
      <x:c r="P16" s="49"/>
      <x:c r="Q16" s="49"/>
      <x:c r="R16" s="49"/>
      <x:c r="S16" s="49"/>
      <x:c r="T16" s="49"/>
      <x:c r="U16" s="49"/>
      <x:c r="V16" s="49"/>
      <x:c r="W16" s="49"/>
      <x:c r="X16" s="49"/>
      <x:c r="Y16" s="49"/>
      <x:c r="Z16" s="49"/>
    </x:row>
    <x:row r="17">
      <x:c r="A17" s="51" t="str"/>
      <x:c r="B17" s="51" t="str"/>
      <x:c r="C17" s="51" t="str"/>
      <x:c r="D17" s="51" t="str"/>
      <x:c r="E17" s="51" t="str"/>
      <x:c r="F17" s="52" t="str"/>
      <x:c r="G17" s="51" t="str"/>
      <x:c r="H17" s="59" t="b">
        <x:v>0</x:v>
      </x:c>
      <x:c r="I17" s="59" t="b">
        <x:v>0</x:v>
      </x:c>
      <x:c r="J17" s="51" t="str">
        <x:v>Pending</x:v>
      </x:c>
      <x:c r="K17" s="49"/>
      <x:c r="L17" s="49"/>
      <x:c r="M17" s="49"/>
      <x:c r="N17" s="49"/>
      <x:c r="O17" s="49"/>
      <x:c r="P17" s="49"/>
      <x:c r="Q17" s="49"/>
      <x:c r="R17" s="49"/>
      <x:c r="S17" s="49"/>
      <x:c r="T17" s="49"/>
      <x:c r="U17" s="49"/>
      <x:c r="V17" s="49"/>
      <x:c r="W17" s="49"/>
      <x:c r="X17" s="49"/>
      <x:c r="Y17" s="49"/>
      <x:c r="Z17" s="49"/>
    </x:row>
    <x:row r="18">
      <x:c r="A18" s="51" t="str"/>
      <x:c r="B18" s="51" t="str"/>
      <x:c r="C18" s="51" t="str"/>
      <x:c r="D18" s="51" t="str"/>
      <x:c r="E18" s="51" t="str"/>
      <x:c r="F18" s="52" t="str"/>
      <x:c r="G18" s="51" t="str"/>
      <x:c r="H18" s="59" t="b">
        <x:v>0</x:v>
      </x:c>
      <x:c r="I18" s="59" t="b">
        <x:v>0</x:v>
      </x:c>
      <x:c r="J18" s="51" t="str">
        <x:v>Pending</x:v>
      </x:c>
      <x:c r="K18" s="49"/>
      <x:c r="L18" s="49"/>
      <x:c r="M18" s="49"/>
      <x:c r="N18" s="49"/>
      <x:c r="O18" s="49"/>
      <x:c r="P18" s="49"/>
      <x:c r="Q18" s="49"/>
      <x:c r="R18" s="49"/>
      <x:c r="S18" s="49"/>
      <x:c r="T18" s="49"/>
      <x:c r="U18" s="49"/>
      <x:c r="V18" s="49"/>
      <x:c r="W18" s="49"/>
      <x:c r="X18" s="49"/>
      <x:c r="Y18" s="49"/>
      <x:c r="Z18" s="49"/>
    </x:row>
    <x:row r="19">
      <x:c r="A19" s="51" t="str"/>
      <x:c r="B19" s="51" t="str"/>
      <x:c r="C19" s="51" t="str"/>
      <x:c r="D19" s="51" t="str"/>
      <x:c r="E19" s="51" t="str"/>
      <x:c r="F19" s="52" t="str"/>
      <x:c r="G19" s="51" t="str"/>
      <x:c r="H19" s="59" t="b">
        <x:v>0</x:v>
      </x:c>
      <x:c r="I19" s="59" t="b">
        <x:v>0</x:v>
      </x:c>
      <x:c r="J19" s="51" t="str">
        <x:v>Pending</x:v>
      </x:c>
      <x:c r="K19" s="49"/>
      <x:c r="L19" s="49"/>
      <x:c r="M19" s="49"/>
      <x:c r="N19" s="49"/>
      <x:c r="O19" s="49"/>
      <x:c r="P19" s="49"/>
      <x:c r="Q19" s="49"/>
      <x:c r="R19" s="49"/>
      <x:c r="S19" s="49"/>
      <x:c r="T19" s="49"/>
      <x:c r="U19" s="49"/>
      <x:c r="V19" s="49"/>
      <x:c r="W19" s="49"/>
      <x:c r="X19" s="49"/>
      <x:c r="Y19" s="49"/>
      <x:c r="Z19" s="49"/>
    </x:row>
    <x:row r="20">
      <x:c r="A20" s="51" t="str"/>
      <x:c r="B20" s="51" t="str"/>
      <x:c r="C20" s="51" t="str"/>
      <x:c r="D20" s="51" t="str"/>
      <x:c r="E20" s="51" t="str"/>
      <x:c r="F20" s="52" t="str"/>
      <x:c r="G20" s="51" t="str"/>
      <x:c r="H20" s="59" t="b">
        <x:v>0</x:v>
      </x:c>
      <x:c r="I20" s="59" t="b">
        <x:v>0</x:v>
      </x:c>
      <x:c r="J20" s="51" t="str">
        <x:v>Pending</x:v>
      </x:c>
      <x:c r="K20" s="49"/>
      <x:c r="L20" s="49"/>
      <x:c r="M20" s="49"/>
      <x:c r="N20" s="49"/>
      <x:c r="O20" s="49"/>
      <x:c r="P20" s="49"/>
      <x:c r="Q20" s="49"/>
      <x:c r="R20" s="49"/>
      <x:c r="S20" s="49"/>
      <x:c r="T20" s="49"/>
      <x:c r="U20" s="49"/>
      <x:c r="V20" s="49"/>
      <x:c r="W20" s="49"/>
      <x:c r="X20" s="49"/>
      <x:c r="Y20" s="49"/>
      <x:c r="Z20" s="49"/>
    </x:row>
    <x:row r="21">
      <x:c r="A21" s="51" t="str"/>
      <x:c r="B21" s="51" t="str"/>
      <x:c r="C21" s="51" t="str"/>
      <x:c r="D21" s="51" t="str"/>
      <x:c r="E21" s="51" t="str"/>
      <x:c r="F21" s="52" t="str"/>
      <x:c r="G21" s="51" t="str"/>
      <x:c r="H21" s="59" t="b">
        <x:v>0</x:v>
      </x:c>
      <x:c r="I21" s="59" t="b">
        <x:v>0</x:v>
      </x:c>
      <x:c r="J21" s="51" t="str">
        <x:v>Pending</x:v>
      </x:c>
      <x:c r="K21" s="49"/>
      <x:c r="L21" s="49"/>
      <x:c r="M21" s="49"/>
      <x:c r="N21" s="49"/>
      <x:c r="O21" s="49"/>
      <x:c r="P21" s="49"/>
      <x:c r="Q21" s="49"/>
      <x:c r="R21" s="49"/>
      <x:c r="S21" s="49"/>
      <x:c r="T21" s="49"/>
      <x:c r="U21" s="49"/>
      <x:c r="V21" s="49"/>
      <x:c r="W21" s="49"/>
      <x:c r="X21" s="49"/>
      <x:c r="Y21" s="49"/>
      <x:c r="Z21" s="49"/>
    </x:row>
    <x:row r="22">
      <x:c r="A22" s="51" t="str"/>
      <x:c r="B22" s="51" t="str"/>
      <x:c r="C22" s="51" t="str"/>
      <x:c r="D22" s="51" t="str"/>
      <x:c r="E22" s="51" t="str"/>
      <x:c r="F22" s="52" t="str"/>
      <x:c r="G22" s="51" t="str"/>
      <x:c r="H22" s="59" t="b">
        <x:v>0</x:v>
      </x:c>
      <x:c r="I22" s="59" t="b">
        <x:v>0</x:v>
      </x:c>
      <x:c r="J22" s="51" t="str">
        <x:v>Pending</x:v>
      </x:c>
      <x:c r="K22" s="49"/>
      <x:c r="L22" s="49"/>
      <x:c r="M22" s="49"/>
      <x:c r="N22" s="49"/>
      <x:c r="O22" s="49"/>
      <x:c r="P22" s="49"/>
      <x:c r="Q22" s="49"/>
      <x:c r="R22" s="49"/>
      <x:c r="S22" s="49"/>
      <x:c r="T22" s="49"/>
      <x:c r="U22" s="49"/>
      <x:c r="V22" s="49"/>
      <x:c r="W22" s="49"/>
      <x:c r="X22" s="49"/>
      <x:c r="Y22" s="49"/>
      <x:c r="Z22" s="49"/>
    </x:row>
    <x:row r="23">
      <x:c r="A23" s="51" t="str"/>
      <x:c r="B23" s="51" t="str"/>
      <x:c r="C23" s="51" t="str"/>
      <x:c r="D23" s="51" t="str"/>
      <x:c r="E23" s="51" t="str"/>
      <x:c r="F23" s="52" t="str"/>
      <x:c r="G23" s="51" t="str"/>
      <x:c r="H23" s="59" t="b">
        <x:v>0</x:v>
      </x:c>
      <x:c r="I23" s="59" t="b">
        <x:v>0</x:v>
      </x:c>
      <x:c r="J23" s="51" t="str">
        <x:v>Pending</x:v>
      </x:c>
      <x:c r="K23" s="49"/>
      <x:c r="L23" s="49"/>
      <x:c r="M23" s="49"/>
      <x:c r="N23" s="49"/>
      <x:c r="O23" s="49"/>
      <x:c r="P23" s="49"/>
      <x:c r="Q23" s="49"/>
      <x:c r="R23" s="49"/>
      <x:c r="S23" s="49"/>
      <x:c r="T23" s="49"/>
      <x:c r="U23" s="49"/>
      <x:c r="V23" s="49"/>
      <x:c r="W23" s="49"/>
      <x:c r="X23" s="49"/>
      <x:c r="Y23" s="49"/>
      <x:c r="Z23" s="49"/>
    </x:row>
    <x:row r="24">
      <x:c r="A24" s="51" t="str"/>
      <x:c r="B24" s="51" t="str"/>
      <x:c r="C24" s="51" t="str"/>
      <x:c r="D24" s="51" t="str"/>
      <x:c r="E24" s="51" t="str"/>
      <x:c r="F24" s="52" t="str"/>
      <x:c r="G24" s="51" t="str"/>
      <x:c r="H24" s="59" t="b">
        <x:v>0</x:v>
      </x:c>
      <x:c r="I24" s="59" t="b">
        <x:v>0</x:v>
      </x:c>
      <x:c r="J24" s="51" t="str">
        <x:v>Pending</x:v>
      </x:c>
      <x:c r="K24" s="49"/>
      <x:c r="L24" s="49"/>
      <x:c r="M24" s="49"/>
      <x:c r="N24" s="49"/>
      <x:c r="O24" s="49"/>
      <x:c r="P24" s="49"/>
      <x:c r="Q24" s="49"/>
      <x:c r="R24" s="49"/>
      <x:c r="S24" s="49"/>
      <x:c r="T24" s="49"/>
      <x:c r="U24" s="49"/>
      <x:c r="V24" s="49"/>
      <x:c r="W24" s="49"/>
      <x:c r="X24" s="49"/>
      <x:c r="Y24" s="49"/>
      <x:c r="Z24" s="49"/>
    </x:row>
    <x:row r="25">
      <x:c r="A25" s="51" t="str"/>
      <x:c r="B25" s="51" t="str"/>
      <x:c r="C25" s="51" t="str"/>
      <x:c r="D25" s="51" t="str"/>
      <x:c r="E25" s="51" t="str"/>
      <x:c r="F25" s="52" t="str"/>
      <x:c r="G25" s="51" t="str"/>
      <x:c r="H25" s="59" t="b">
        <x:v>0</x:v>
      </x:c>
      <x:c r="I25" s="59" t="b">
        <x:v>0</x:v>
      </x:c>
      <x:c r="J25" s="51" t="str">
        <x:v>Pending</x:v>
      </x:c>
      <x:c r="K25" s="49"/>
      <x:c r="L25" s="49"/>
      <x:c r="M25" s="49"/>
      <x:c r="N25" s="49"/>
      <x:c r="O25" s="49"/>
      <x:c r="P25" s="49"/>
      <x:c r="Q25" s="49"/>
      <x:c r="R25" s="49"/>
      <x:c r="S25" s="49"/>
      <x:c r="T25" s="49"/>
      <x:c r="U25" s="49"/>
      <x:c r="V25" s="49"/>
      <x:c r="W25" s="49"/>
      <x:c r="X25" s="49"/>
      <x:c r="Y25" s="49"/>
      <x:c r="Z25" s="49"/>
    </x:row>
    <x:row r="26">
      <x:c r="A26" s="51" t="str"/>
      <x:c r="B26" s="51" t="str"/>
      <x:c r="C26" s="51" t="str"/>
      <x:c r="D26" s="51" t="str"/>
      <x:c r="E26" s="51" t="str"/>
      <x:c r="F26" s="52" t="str"/>
      <x:c r="G26" s="51" t="str"/>
      <x:c r="H26" s="59" t="b">
        <x:v>0</x:v>
      </x:c>
      <x:c r="I26" s="59" t="b">
        <x:v>0</x:v>
      </x:c>
      <x:c r="J26" s="51" t="str">
        <x:v>Pending</x:v>
      </x:c>
      <x:c r="K26" s="49"/>
      <x:c r="L26" s="49"/>
      <x:c r="M26" s="49"/>
      <x:c r="N26" s="49"/>
      <x:c r="O26" s="49"/>
      <x:c r="P26" s="49"/>
      <x:c r="Q26" s="49"/>
      <x:c r="R26" s="49"/>
      <x:c r="S26" s="49"/>
      <x:c r="T26" s="49"/>
      <x:c r="U26" s="49"/>
      <x:c r="V26" s="49"/>
      <x:c r="W26" s="49"/>
      <x:c r="X26" s="49"/>
      <x:c r="Y26" s="49"/>
      <x:c r="Z26" s="49"/>
    </x:row>
    <x:row r="27">
      <x:c r="A27" s="51" t="str"/>
      <x:c r="B27" s="51" t="str"/>
      <x:c r="C27" s="51" t="str"/>
      <x:c r="D27" s="51" t="str"/>
      <x:c r="E27" s="51" t="str"/>
      <x:c r="F27" s="52" t="str"/>
      <x:c r="G27" s="51" t="str"/>
      <x:c r="H27" s="59" t="b">
        <x:v>0</x:v>
      </x:c>
      <x:c r="I27" s="59" t="b">
        <x:v>0</x:v>
      </x:c>
      <x:c r="J27" s="51" t="str">
        <x:v>Pending</x:v>
      </x:c>
      <x:c r="K27" s="49"/>
      <x:c r="L27" s="49"/>
      <x:c r="M27" s="49"/>
      <x:c r="N27" s="49"/>
      <x:c r="O27" s="49"/>
      <x:c r="P27" s="49"/>
      <x:c r="Q27" s="49"/>
      <x:c r="R27" s="49"/>
      <x:c r="S27" s="49"/>
      <x:c r="T27" s="49"/>
      <x:c r="U27" s="49"/>
      <x:c r="V27" s="49"/>
      <x:c r="W27" s="49"/>
      <x:c r="X27" s="49"/>
      <x:c r="Y27" s="49"/>
      <x:c r="Z27" s="49"/>
    </x:row>
    <x:row r="28">
      <x:c r="A28" s="51" t="str"/>
      <x:c r="B28" s="51" t="str"/>
      <x:c r="C28" s="51" t="str"/>
      <x:c r="D28" s="51" t="str"/>
      <x:c r="E28" s="51" t="str"/>
      <x:c r="F28" s="52" t="str"/>
      <x:c r="G28" s="51" t="str"/>
      <x:c r="H28" s="59" t="b">
        <x:v>0</x:v>
      </x:c>
      <x:c r="I28" s="59" t="b">
        <x:v>0</x:v>
      </x:c>
      <x:c r="J28" s="51" t="str">
        <x:v>Pending</x:v>
      </x:c>
      <x:c r="K28" s="49"/>
      <x:c r="L28" s="49"/>
      <x:c r="M28" s="49"/>
      <x:c r="N28" s="49"/>
      <x:c r="O28" s="49"/>
      <x:c r="P28" s="49"/>
      <x:c r="Q28" s="49"/>
      <x:c r="R28" s="49"/>
      <x:c r="S28" s="49"/>
      <x:c r="T28" s="49"/>
      <x:c r="U28" s="49"/>
      <x:c r="V28" s="49"/>
      <x:c r="W28" s="49"/>
      <x:c r="X28" s="49"/>
      <x:c r="Y28" s="49"/>
      <x:c r="Z28" s="49"/>
    </x:row>
    <x:row r="29">
      <x:c r="A29" s="51" t="str"/>
      <x:c r="B29" s="51" t="str"/>
      <x:c r="C29" s="51" t="str"/>
      <x:c r="D29" s="51" t="str"/>
      <x:c r="E29" s="51" t="str"/>
      <x:c r="F29" s="52" t="str"/>
      <x:c r="G29" s="51" t="str"/>
      <x:c r="H29" s="59" t="b">
        <x:v>0</x:v>
      </x:c>
      <x:c r="I29" s="59" t="b">
        <x:v>0</x:v>
      </x:c>
      <x:c r="J29" s="51" t="str">
        <x:v>Pending</x:v>
      </x:c>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sheetData>
  <x:mergeCells>
    <x:mergeCell ref="A1:J2"/>
  </x:mergeCells>
  <x:conditionalFormatting sqref="H5:I29">
    <x:cfRule type="expression" dxfId="2" priority="1">
      <x:formula>H5=TRUE</x:formula>
    </x:cfRule>
    <x:cfRule type="expression" dxfId="3" priority="2">
      <x:formula>I5=TRUE</x:formula>
    </x:cfRule>
  </x:conditionalFormatting>
  <x:dataValidations count="1">
    <x:dataValidation type="list" sqref="C5:C29">
      <x:formula1>_Lists!$E$2:$E$4</x:formula1>
    </x:dataValidation>
  </x:dataValidations>
  <x:pageMargins left="0.7" right="0.7" top="0.75" bottom="0.75" header="0.3" footer="0.3"/>
  <x:tableParts count="1">
    <x:tablePart xmlns:r="http://schemas.openxmlformats.org/officeDocument/2006/relationships" r:id="R1d3dd49aecf849cd"/>
  </x:tableParts>
</x:worksheet>
</file>

<file path=xl/worksheets/sheet7.xml><?xml version="1.0" encoding="utf-8"?>
<x:worksheet xmlns:x="http://schemas.openxmlformats.org/spreadsheetml/2006/main">
  <x:sheetFormatPr defaultRowHeight="15"/>
  <x:cols>
    <x:col min="1" max="1" width="14" hidden="0" customWidth="1"/>
    <x:col min="2" max="2" width="35" hidden="0" customWidth="1"/>
    <x:col min="3" max="3" width="16" hidden="0" customWidth="1"/>
    <x:col min="4" max="4" width="14" hidden="0" customWidth="1"/>
    <x:col min="5" max="5" width="10" hidden="0" customWidth="1"/>
    <x:col min="6" max="6" width="10" hidden="0" customWidth="1"/>
    <x:col min="7" max="7" width="10" hidden="0" customWidth="1"/>
    <x:col min="8" max="8" width="12" hidden="0" customWidth="1"/>
    <x:col min="9" max="9" width="16" hidden="0" customWidth="1"/>
    <x:col min="10" max="10" width="16" hidden="0" customWidth="1"/>
    <x:col min="11" max="11" width="30" hidden="0" customWidth="1"/>
    <x:col min="12" max="12" width="40" hidden="0" customWidth="1"/>
  </x:cols>
  <x:sheetData>
    <x:row r="1">
      <x:c r="A1" s="48" t="str">
        <x:v>محفظة المواقع والمقارنة السياقية</x:v>
      </x:c>
      <x:c r="B1" s="48"/>
      <x:c r="C1" s="48"/>
      <x:c r="D1" s="48"/>
      <x:c r="E1" s="48"/>
      <x:c r="F1" s="48"/>
      <x:c r="G1" s="48"/>
      <x:c r="H1" s="48"/>
      <x:c r="I1" s="48"/>
      <x:c r="J1" s="48"/>
      <x:c r="K1" s="48"/>
      <x:c r="L1" s="48"/>
      <x:c r="M1" s="49"/>
      <x:c r="N1" s="49"/>
      <x:c r="O1" s="49"/>
      <x:c r="P1" s="49"/>
      <x:c r="Q1" s="49"/>
      <x:c r="R1" s="49"/>
      <x:c r="S1" s="49"/>
      <x:c r="T1" s="49"/>
      <x:c r="U1" s="49"/>
      <x:c r="V1" s="49"/>
      <x:c r="W1" s="49"/>
      <x:c r="X1" s="49"/>
      <x:c r="Y1" s="49"/>
      <x:c r="Z1" s="49"/>
    </x:row>
    <x:row r="2">
      <x:c r="A2" s="48"/>
      <x:c r="B2" s="48"/>
      <x:c r="C2" s="48"/>
      <x:c r="D2" s="48"/>
      <x:c r="E2" s="48"/>
      <x:c r="F2" s="48"/>
      <x:c r="G2" s="48"/>
      <x:c r="H2" s="48"/>
      <x:c r="I2" s="48"/>
      <x:c r="J2" s="48"/>
      <x:c r="K2" s="48"/>
      <x:c r="L2" s="48"/>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58" t="str">
        <x:v>Site Code</x:v>
      </x:c>
      <x:c r="B4" s="58" t="str">
        <x:v>Site Name</x:v>
      </x:c>
      <x:c r="C4" s="58" t="str">
        <x:v>Readiness Score</x:v>
      </x:c>
      <x:c r="D4" s="58" t="str">
        <x:v>Average Risk</x:v>
      </x:c>
      <x:c r="E4" s="58" t="str">
        <x:v>Open P0</x:v>
      </x:c>
      <x:c r="F4" s="58" t="str">
        <x:v>Open P1</x:v>
      </x:c>
      <x:c r="G4" s="58" t="str">
        <x:v>ESR Red</x:v>
      </x:c>
      <x:c r="H4" s="58" t="str">
        <x:v>DQ Issues</x:v>
      </x:c>
      <x:c r="I4" s="58" t="str">
        <x:v>Overdue Controls</x:v>
      </x:c>
      <x:c r="J4" s="58" t="str">
        <x:v>Status</x:v>
      </x:c>
      <x:c r="K4" s="58" t="str">
        <x:v>Evidence Reference</x:v>
      </x:c>
      <x:c r="L4" s="58" t="str">
        <x:v>Notes</x:v>
      </x:c>
      <x:c r="M4" s="49"/>
      <x:c r="N4" s="49"/>
      <x:c r="O4" s="49"/>
      <x:c r="P4" s="49"/>
      <x:c r="Q4" s="49"/>
      <x:c r="R4" s="49"/>
      <x:c r="S4" s="49"/>
      <x:c r="T4" s="49"/>
      <x:c r="U4" s="49"/>
      <x:c r="V4" s="49"/>
      <x:c r="W4" s="49"/>
      <x:c r="X4" s="49"/>
      <x:c r="Y4" s="49"/>
      <x:c r="Z4" s="49"/>
    </x:row>
    <x:row r="5">
      <x:c r="A5" s="51" t="str"/>
      <x:c r="B5" s="51" t="str"/>
      <x:c r="C5" s="64" t="str"/>
      <x:c r="D5" s="64" t="str"/>
      <x:c r="E5" s="51" t="n">
        <x:v>0</x:v>
      </x:c>
      <x:c r="F5" s="51" t="n">
        <x:v>0</x:v>
      </x:c>
      <x:c r="G5" s="51" t="n">
        <x:v>0</x:v>
      </x:c>
      <x:c r="H5" s="51" t="n">
        <x:v>0</x:v>
      </x:c>
      <x:c r="I5" s="51" t="n">
        <x:v>0</x:v>
      </x:c>
      <x:c r="J5" s="51" t="str">
        <x:v>NotAssessed</x:v>
      </x:c>
      <x:c r="K5" s="51" t="str"/>
      <x:c r="L5" s="51" t="str"/>
      <x:c r="M5" s="49"/>
      <x:c r="N5" s="49"/>
      <x:c r="O5" s="49"/>
      <x:c r="P5" s="49"/>
      <x:c r="Q5" s="49"/>
      <x:c r="R5" s="49"/>
      <x:c r="S5" s="49"/>
      <x:c r="T5" s="49"/>
      <x:c r="U5" s="49"/>
      <x:c r="V5" s="49"/>
      <x:c r="W5" s="49"/>
      <x:c r="X5" s="49"/>
      <x:c r="Y5" s="49"/>
      <x:c r="Z5" s="49"/>
    </x:row>
    <x:row r="6">
      <x:c r="A6" s="51" t="str"/>
      <x:c r="B6" s="51" t="str"/>
      <x:c r="C6" s="64" t="str"/>
      <x:c r="D6" s="64" t="str"/>
      <x:c r="E6" s="51" t="n">
        <x:v>0</x:v>
      </x:c>
      <x:c r="F6" s="51" t="n">
        <x:v>0</x:v>
      </x:c>
      <x:c r="G6" s="51" t="n">
        <x:v>0</x:v>
      </x:c>
      <x:c r="H6" s="51" t="n">
        <x:v>0</x:v>
      </x:c>
      <x:c r="I6" s="51" t="n">
        <x:v>0</x:v>
      </x:c>
      <x:c r="J6" s="51" t="str">
        <x:v>NotAssessed</x:v>
      </x:c>
      <x:c r="K6" s="51" t="str"/>
      <x:c r="L6" s="51" t="str"/>
      <x:c r="M6" s="49"/>
      <x:c r="N6" s="49"/>
      <x:c r="O6" s="49"/>
      <x:c r="P6" s="49"/>
      <x:c r="Q6" s="49"/>
      <x:c r="R6" s="49"/>
      <x:c r="S6" s="49"/>
      <x:c r="T6" s="49"/>
      <x:c r="U6" s="49"/>
      <x:c r="V6" s="49"/>
      <x:c r="W6" s="49"/>
      <x:c r="X6" s="49"/>
      <x:c r="Y6" s="49"/>
      <x:c r="Z6" s="49"/>
    </x:row>
    <x:row r="7">
      <x:c r="A7" s="51" t="str"/>
      <x:c r="B7" s="51" t="str"/>
      <x:c r="C7" s="64" t="str"/>
      <x:c r="D7" s="64" t="str"/>
      <x:c r="E7" s="51" t="n">
        <x:v>0</x:v>
      </x:c>
      <x:c r="F7" s="51" t="n">
        <x:v>0</x:v>
      </x:c>
      <x:c r="G7" s="51" t="n">
        <x:v>0</x:v>
      </x:c>
      <x:c r="H7" s="51" t="n">
        <x:v>0</x:v>
      </x:c>
      <x:c r="I7" s="51" t="n">
        <x:v>0</x:v>
      </x:c>
      <x:c r="J7" s="51" t="str">
        <x:v>NotAssessed</x:v>
      </x:c>
      <x:c r="K7" s="51" t="str"/>
      <x:c r="L7" s="51" t="str"/>
      <x:c r="M7" s="49"/>
      <x:c r="N7" s="49"/>
      <x:c r="O7" s="49"/>
      <x:c r="P7" s="49"/>
      <x:c r="Q7" s="49"/>
      <x:c r="R7" s="49"/>
      <x:c r="S7" s="49"/>
      <x:c r="T7" s="49"/>
      <x:c r="U7" s="49"/>
      <x:c r="V7" s="49"/>
      <x:c r="W7" s="49"/>
      <x:c r="X7" s="49"/>
      <x:c r="Y7" s="49"/>
      <x:c r="Z7" s="49"/>
    </x:row>
    <x:row r="8">
      <x:c r="A8" s="51" t="str"/>
      <x:c r="B8" s="51" t="str"/>
      <x:c r="C8" s="64" t="str"/>
      <x:c r="D8" s="64" t="str"/>
      <x:c r="E8" s="51" t="n">
        <x:v>0</x:v>
      </x:c>
      <x:c r="F8" s="51" t="n">
        <x:v>0</x:v>
      </x:c>
      <x:c r="G8" s="51" t="n">
        <x:v>0</x:v>
      </x:c>
      <x:c r="H8" s="51" t="n">
        <x:v>0</x:v>
      </x:c>
      <x:c r="I8" s="51" t="n">
        <x:v>0</x:v>
      </x:c>
      <x:c r="J8" s="51" t="str">
        <x:v>NotAssessed</x:v>
      </x:c>
      <x:c r="K8" s="51" t="str"/>
      <x:c r="L8" s="51" t="str"/>
      <x:c r="M8" s="49"/>
      <x:c r="N8" s="49"/>
      <x:c r="O8" s="49"/>
      <x:c r="P8" s="49"/>
      <x:c r="Q8" s="49"/>
      <x:c r="R8" s="49"/>
      <x:c r="S8" s="49"/>
      <x:c r="T8" s="49"/>
      <x:c r="U8" s="49"/>
      <x:c r="V8" s="49"/>
      <x:c r="W8" s="49"/>
      <x:c r="X8" s="49"/>
      <x:c r="Y8" s="49"/>
      <x:c r="Z8" s="49"/>
    </x:row>
    <x:row r="9">
      <x:c r="A9" s="51" t="str"/>
      <x:c r="B9" s="51" t="str"/>
      <x:c r="C9" s="64" t="str"/>
      <x:c r="D9" s="64" t="str"/>
      <x:c r="E9" s="51" t="n">
        <x:v>0</x:v>
      </x:c>
      <x:c r="F9" s="51" t="n">
        <x:v>0</x:v>
      </x:c>
      <x:c r="G9" s="51" t="n">
        <x:v>0</x:v>
      </x:c>
      <x:c r="H9" s="51" t="n">
        <x:v>0</x:v>
      </x:c>
      <x:c r="I9" s="51" t="n">
        <x:v>0</x:v>
      </x:c>
      <x:c r="J9" s="51" t="str">
        <x:v>NotAssessed</x:v>
      </x:c>
      <x:c r="K9" s="51" t="str"/>
      <x:c r="L9" s="51" t="str"/>
      <x:c r="M9" s="49"/>
      <x:c r="N9" s="49"/>
      <x:c r="O9" s="49"/>
      <x:c r="P9" s="49"/>
      <x:c r="Q9" s="49"/>
      <x:c r="R9" s="49"/>
      <x:c r="S9" s="49"/>
      <x:c r="T9" s="49"/>
      <x:c r="U9" s="49"/>
      <x:c r="V9" s="49"/>
      <x:c r="W9" s="49"/>
      <x:c r="X9" s="49"/>
      <x:c r="Y9" s="49"/>
      <x:c r="Z9" s="49"/>
    </x:row>
    <x:row r="10">
      <x:c r="A10" s="51" t="str"/>
      <x:c r="B10" s="51" t="str"/>
      <x:c r="C10" s="64" t="str"/>
      <x:c r="D10" s="64" t="str"/>
      <x:c r="E10" s="51" t="n">
        <x:v>0</x:v>
      </x:c>
      <x:c r="F10" s="51" t="n">
        <x:v>0</x:v>
      </x:c>
      <x:c r="G10" s="51" t="n">
        <x:v>0</x:v>
      </x:c>
      <x:c r="H10" s="51" t="n">
        <x:v>0</x:v>
      </x:c>
      <x:c r="I10" s="51" t="n">
        <x:v>0</x:v>
      </x:c>
      <x:c r="J10" s="51" t="str">
        <x:v>NotAssessed</x:v>
      </x:c>
      <x:c r="K10" s="51" t="str"/>
      <x:c r="L10" s="51" t="str"/>
      <x:c r="M10" s="49"/>
      <x:c r="N10" s="49"/>
      <x:c r="O10" s="49"/>
      <x:c r="P10" s="49"/>
      <x:c r="Q10" s="49"/>
      <x:c r="R10" s="49"/>
      <x:c r="S10" s="49"/>
      <x:c r="T10" s="49"/>
      <x:c r="U10" s="49"/>
      <x:c r="V10" s="49"/>
      <x:c r="W10" s="49"/>
      <x:c r="X10" s="49"/>
      <x:c r="Y10" s="49"/>
      <x:c r="Z10" s="49"/>
    </x:row>
    <x:row r="11">
      <x:c r="A11" s="51" t="str"/>
      <x:c r="B11" s="51" t="str"/>
      <x:c r="C11" s="64" t="str"/>
      <x:c r="D11" s="64" t="str"/>
      <x:c r="E11" s="51" t="n">
        <x:v>0</x:v>
      </x:c>
      <x:c r="F11" s="51" t="n">
        <x:v>0</x:v>
      </x:c>
      <x:c r="G11" s="51" t="n">
        <x:v>0</x:v>
      </x:c>
      <x:c r="H11" s="51" t="n">
        <x:v>0</x:v>
      </x:c>
      <x:c r="I11" s="51" t="n">
        <x:v>0</x:v>
      </x:c>
      <x:c r="J11" s="51" t="str">
        <x:v>NotAssessed</x:v>
      </x:c>
      <x:c r="K11" s="51" t="str"/>
      <x:c r="L11" s="51" t="str"/>
      <x:c r="M11" s="49"/>
      <x:c r="N11" s="49"/>
      <x:c r="O11" s="49"/>
      <x:c r="P11" s="49"/>
      <x:c r="Q11" s="49"/>
      <x:c r="R11" s="49"/>
      <x:c r="S11" s="49"/>
      <x:c r="T11" s="49"/>
      <x:c r="U11" s="49"/>
      <x:c r="V11" s="49"/>
      <x:c r="W11" s="49"/>
      <x:c r="X11" s="49"/>
      <x:c r="Y11" s="49"/>
      <x:c r="Z11" s="49"/>
    </x:row>
    <x:row r="12">
      <x:c r="A12" s="51" t="str"/>
      <x:c r="B12" s="51" t="str"/>
      <x:c r="C12" s="64" t="str"/>
      <x:c r="D12" s="64" t="str"/>
      <x:c r="E12" s="51" t="n">
        <x:v>0</x:v>
      </x:c>
      <x:c r="F12" s="51" t="n">
        <x:v>0</x:v>
      </x:c>
      <x:c r="G12" s="51" t="n">
        <x:v>0</x:v>
      </x:c>
      <x:c r="H12" s="51" t="n">
        <x:v>0</x:v>
      </x:c>
      <x:c r="I12" s="51" t="n">
        <x:v>0</x:v>
      </x:c>
      <x:c r="J12" s="51" t="str">
        <x:v>NotAssessed</x:v>
      </x:c>
      <x:c r="K12" s="51" t="str"/>
      <x:c r="L12" s="51" t="str"/>
      <x:c r="M12" s="49"/>
      <x:c r="N12" s="49"/>
      <x:c r="O12" s="49"/>
      <x:c r="P12" s="49"/>
      <x:c r="Q12" s="49"/>
      <x:c r="R12" s="49"/>
      <x:c r="S12" s="49"/>
      <x:c r="T12" s="49"/>
      <x:c r="U12" s="49"/>
      <x:c r="V12" s="49"/>
      <x:c r="W12" s="49"/>
      <x:c r="X12" s="49"/>
      <x:c r="Y12" s="49"/>
      <x:c r="Z12" s="49"/>
    </x:row>
    <x:row r="13">
      <x:c r="A13" s="51" t="str"/>
      <x:c r="B13" s="51" t="str"/>
      <x:c r="C13" s="64" t="str"/>
      <x:c r="D13" s="64" t="str"/>
      <x:c r="E13" s="51" t="n">
        <x:v>0</x:v>
      </x:c>
      <x:c r="F13" s="51" t="n">
        <x:v>0</x:v>
      </x:c>
      <x:c r="G13" s="51" t="n">
        <x:v>0</x:v>
      </x:c>
      <x:c r="H13" s="51" t="n">
        <x:v>0</x:v>
      </x:c>
      <x:c r="I13" s="51" t="n">
        <x:v>0</x:v>
      </x:c>
      <x:c r="J13" s="51" t="str">
        <x:v>NotAssessed</x:v>
      </x:c>
      <x:c r="K13" s="51" t="str"/>
      <x:c r="L13" s="51" t="str"/>
      <x:c r="M13" s="49"/>
      <x:c r="N13" s="49"/>
      <x:c r="O13" s="49"/>
      <x:c r="P13" s="49"/>
      <x:c r="Q13" s="49"/>
      <x:c r="R13" s="49"/>
      <x:c r="S13" s="49"/>
      <x:c r="T13" s="49"/>
      <x:c r="U13" s="49"/>
      <x:c r="V13" s="49"/>
      <x:c r="W13" s="49"/>
      <x:c r="X13" s="49"/>
      <x:c r="Y13" s="49"/>
      <x:c r="Z13" s="49"/>
    </x:row>
    <x:row r="14">
      <x:c r="A14" s="51" t="str"/>
      <x:c r="B14" s="51" t="str"/>
      <x:c r="C14" s="64" t="str"/>
      <x:c r="D14" s="64" t="str"/>
      <x:c r="E14" s="51" t="n">
        <x:v>0</x:v>
      </x:c>
      <x:c r="F14" s="51" t="n">
        <x:v>0</x:v>
      </x:c>
      <x:c r="G14" s="51" t="n">
        <x:v>0</x:v>
      </x:c>
      <x:c r="H14" s="51" t="n">
        <x:v>0</x:v>
      </x:c>
      <x:c r="I14" s="51" t="n">
        <x:v>0</x:v>
      </x:c>
      <x:c r="J14" s="51" t="str">
        <x:v>NotAssessed</x:v>
      </x:c>
      <x:c r="K14" s="51" t="str"/>
      <x:c r="L14" s="51" t="str"/>
      <x:c r="M14" s="49"/>
      <x:c r="N14" s="49"/>
      <x:c r="O14" s="49"/>
      <x:c r="P14" s="49"/>
      <x:c r="Q14" s="49"/>
      <x:c r="R14" s="49"/>
      <x:c r="S14" s="49"/>
      <x:c r="T14" s="49"/>
      <x:c r="U14" s="49"/>
      <x:c r="V14" s="49"/>
      <x:c r="W14" s="49"/>
      <x:c r="X14" s="49"/>
      <x:c r="Y14" s="49"/>
      <x:c r="Z14" s="49"/>
    </x:row>
    <x:row r="15">
      <x:c r="A15" s="51" t="str"/>
      <x:c r="B15" s="51" t="str"/>
      <x:c r="C15" s="64" t="str"/>
      <x:c r="D15" s="64" t="str"/>
      <x:c r="E15" s="51" t="n">
        <x:v>0</x:v>
      </x:c>
      <x:c r="F15" s="51" t="n">
        <x:v>0</x:v>
      </x:c>
      <x:c r="G15" s="51" t="n">
        <x:v>0</x:v>
      </x:c>
      <x:c r="H15" s="51" t="n">
        <x:v>0</x:v>
      </x:c>
      <x:c r="I15" s="51" t="n">
        <x:v>0</x:v>
      </x:c>
      <x:c r="J15" s="51" t="str">
        <x:v>NotAssessed</x:v>
      </x:c>
      <x:c r="K15" s="51" t="str"/>
      <x:c r="L15" s="51" t="str"/>
      <x:c r="M15" s="49"/>
      <x:c r="N15" s="49"/>
      <x:c r="O15" s="49"/>
      <x:c r="P15" s="49"/>
      <x:c r="Q15" s="49"/>
      <x:c r="R15" s="49"/>
      <x:c r="S15" s="49"/>
      <x:c r="T15" s="49"/>
      <x:c r="U15" s="49"/>
      <x:c r="V15" s="49"/>
      <x:c r="W15" s="49"/>
      <x:c r="X15" s="49"/>
      <x:c r="Y15" s="49"/>
      <x:c r="Z15" s="49"/>
    </x:row>
    <x:row r="16">
      <x:c r="A16" s="51" t="str"/>
      <x:c r="B16" s="51" t="str"/>
      <x:c r="C16" s="64" t="str"/>
      <x:c r="D16" s="64" t="str"/>
      <x:c r="E16" s="51" t="n">
        <x:v>0</x:v>
      </x:c>
      <x:c r="F16" s="51" t="n">
        <x:v>0</x:v>
      </x:c>
      <x:c r="G16" s="51" t="n">
        <x:v>0</x:v>
      </x:c>
      <x:c r="H16" s="51" t="n">
        <x:v>0</x:v>
      </x:c>
      <x:c r="I16" s="51" t="n">
        <x:v>0</x:v>
      </x:c>
      <x:c r="J16" s="51" t="str">
        <x:v>NotAssessed</x:v>
      </x:c>
      <x:c r="K16" s="51" t="str"/>
      <x:c r="L16" s="51" t="str"/>
      <x:c r="M16" s="49"/>
      <x:c r="N16" s="49"/>
      <x:c r="O16" s="49"/>
      <x:c r="P16" s="49"/>
      <x:c r="Q16" s="49"/>
      <x:c r="R16" s="49"/>
      <x:c r="S16" s="49"/>
      <x:c r="T16" s="49"/>
      <x:c r="U16" s="49"/>
      <x:c r="V16" s="49"/>
      <x:c r="W16" s="49"/>
      <x:c r="X16" s="49"/>
      <x:c r="Y16" s="49"/>
      <x:c r="Z16" s="49"/>
    </x:row>
    <x:row r="17">
      <x:c r="A17" s="51" t="str"/>
      <x:c r="B17" s="51" t="str"/>
      <x:c r="C17" s="64" t="str"/>
      <x:c r="D17" s="64" t="str"/>
      <x:c r="E17" s="51" t="n">
        <x:v>0</x:v>
      </x:c>
      <x:c r="F17" s="51" t="n">
        <x:v>0</x:v>
      </x:c>
      <x:c r="G17" s="51" t="n">
        <x:v>0</x:v>
      </x:c>
      <x:c r="H17" s="51" t="n">
        <x:v>0</x:v>
      </x:c>
      <x:c r="I17" s="51" t="n">
        <x:v>0</x:v>
      </x:c>
      <x:c r="J17" s="51" t="str">
        <x:v>NotAssessed</x:v>
      </x:c>
      <x:c r="K17" s="51" t="str"/>
      <x:c r="L17" s="51" t="str"/>
      <x:c r="M17" s="49"/>
      <x:c r="N17" s="49"/>
      <x:c r="O17" s="49"/>
      <x:c r="P17" s="49"/>
      <x:c r="Q17" s="49"/>
      <x:c r="R17" s="49"/>
      <x:c r="S17" s="49"/>
      <x:c r="T17" s="49"/>
      <x:c r="U17" s="49"/>
      <x:c r="V17" s="49"/>
      <x:c r="W17" s="49"/>
      <x:c r="X17" s="49"/>
      <x:c r="Y17" s="49"/>
      <x:c r="Z17" s="49"/>
    </x:row>
    <x:row r="18">
      <x:c r="A18" s="51" t="str"/>
      <x:c r="B18" s="51" t="str"/>
      <x:c r="C18" s="64" t="str"/>
      <x:c r="D18" s="64" t="str"/>
      <x:c r="E18" s="51" t="n">
        <x:v>0</x:v>
      </x:c>
      <x:c r="F18" s="51" t="n">
        <x:v>0</x:v>
      </x:c>
      <x:c r="G18" s="51" t="n">
        <x:v>0</x:v>
      </x:c>
      <x:c r="H18" s="51" t="n">
        <x:v>0</x:v>
      </x:c>
      <x:c r="I18" s="51" t="n">
        <x:v>0</x:v>
      </x:c>
      <x:c r="J18" s="51" t="str">
        <x:v>NotAssessed</x:v>
      </x:c>
      <x:c r="K18" s="51" t="str"/>
      <x:c r="L18" s="51" t="str"/>
      <x:c r="M18" s="49"/>
      <x:c r="N18" s="49"/>
      <x:c r="O18" s="49"/>
      <x:c r="P18" s="49"/>
      <x:c r="Q18" s="49"/>
      <x:c r="R18" s="49"/>
      <x:c r="S18" s="49"/>
      <x:c r="T18" s="49"/>
      <x:c r="U18" s="49"/>
      <x:c r="V18" s="49"/>
      <x:c r="W18" s="49"/>
      <x:c r="X18" s="49"/>
      <x:c r="Y18" s="49"/>
      <x:c r="Z18" s="49"/>
    </x:row>
    <x:row r="19">
      <x:c r="A19" s="51" t="str"/>
      <x:c r="B19" s="51" t="str"/>
      <x:c r="C19" s="64" t="str"/>
      <x:c r="D19" s="64" t="str"/>
      <x:c r="E19" s="51" t="n">
        <x:v>0</x:v>
      </x:c>
      <x:c r="F19" s="51" t="n">
        <x:v>0</x:v>
      </x:c>
      <x:c r="G19" s="51" t="n">
        <x:v>0</x:v>
      </x:c>
      <x:c r="H19" s="51" t="n">
        <x:v>0</x:v>
      </x:c>
      <x:c r="I19" s="51" t="n">
        <x:v>0</x:v>
      </x:c>
      <x:c r="J19" s="51" t="str">
        <x:v>NotAssessed</x:v>
      </x:c>
      <x:c r="K19" s="51" t="str"/>
      <x:c r="L19" s="51" t="str"/>
      <x:c r="M19" s="49"/>
      <x:c r="N19" s="49"/>
      <x:c r="O19" s="49"/>
      <x:c r="P19" s="49"/>
      <x:c r="Q19" s="49"/>
      <x:c r="R19" s="49"/>
      <x:c r="S19" s="49"/>
      <x:c r="T19" s="49"/>
      <x:c r="U19" s="49"/>
      <x:c r="V19" s="49"/>
      <x:c r="W19" s="49"/>
      <x:c r="X19" s="49"/>
      <x:c r="Y19" s="49"/>
      <x:c r="Z19" s="49"/>
    </x:row>
    <x:row r="20">
      <x:c r="A20" s="51" t="str"/>
      <x:c r="B20" s="51" t="str"/>
      <x:c r="C20" s="64" t="str"/>
      <x:c r="D20" s="64" t="str"/>
      <x:c r="E20" s="51" t="n">
        <x:v>0</x:v>
      </x:c>
      <x:c r="F20" s="51" t="n">
        <x:v>0</x:v>
      </x:c>
      <x:c r="G20" s="51" t="n">
        <x:v>0</x:v>
      </x:c>
      <x:c r="H20" s="51" t="n">
        <x:v>0</x:v>
      </x:c>
      <x:c r="I20" s="51" t="n">
        <x:v>0</x:v>
      </x:c>
      <x:c r="J20" s="51" t="str">
        <x:v>NotAssessed</x:v>
      </x:c>
      <x:c r="K20" s="51" t="str"/>
      <x:c r="L20" s="51" t="str"/>
      <x:c r="M20" s="49"/>
      <x:c r="N20" s="49"/>
      <x:c r="O20" s="49"/>
      <x:c r="P20" s="49"/>
      <x:c r="Q20" s="49"/>
      <x:c r="R20" s="49"/>
      <x:c r="S20" s="49"/>
      <x:c r="T20" s="49"/>
      <x:c r="U20" s="49"/>
      <x:c r="V20" s="49"/>
      <x:c r="W20" s="49"/>
      <x:c r="X20" s="49"/>
      <x:c r="Y20" s="49"/>
      <x:c r="Z20" s="49"/>
    </x:row>
    <x:row r="21">
      <x:c r="A21" s="51" t="str"/>
      <x:c r="B21" s="51" t="str"/>
      <x:c r="C21" s="64" t="str"/>
      <x:c r="D21" s="64" t="str"/>
      <x:c r="E21" s="51" t="n">
        <x:v>0</x:v>
      </x:c>
      <x:c r="F21" s="51" t="n">
        <x:v>0</x:v>
      </x:c>
      <x:c r="G21" s="51" t="n">
        <x:v>0</x:v>
      </x:c>
      <x:c r="H21" s="51" t="n">
        <x:v>0</x:v>
      </x:c>
      <x:c r="I21" s="51" t="n">
        <x:v>0</x:v>
      </x:c>
      <x:c r="J21" s="51" t="str">
        <x:v>NotAssessed</x:v>
      </x:c>
      <x:c r="K21" s="51" t="str"/>
      <x:c r="L21" s="51" t="str"/>
      <x:c r="M21" s="49"/>
      <x:c r="N21" s="49"/>
      <x:c r="O21" s="49"/>
      <x:c r="P21" s="49"/>
      <x:c r="Q21" s="49"/>
      <x:c r="R21" s="49"/>
      <x:c r="S21" s="49"/>
      <x:c r="T21" s="49"/>
      <x:c r="U21" s="49"/>
      <x:c r="V21" s="49"/>
      <x:c r="W21" s="49"/>
      <x:c r="X21" s="49"/>
      <x:c r="Y21" s="49"/>
      <x:c r="Z21" s="49"/>
    </x:row>
    <x:row r="22">
      <x:c r="A22" s="51" t="str"/>
      <x:c r="B22" s="51" t="str"/>
      <x:c r="C22" s="64" t="str"/>
      <x:c r="D22" s="64" t="str"/>
      <x:c r="E22" s="51" t="n">
        <x:v>0</x:v>
      </x:c>
      <x:c r="F22" s="51" t="n">
        <x:v>0</x:v>
      </x:c>
      <x:c r="G22" s="51" t="n">
        <x:v>0</x:v>
      </x:c>
      <x:c r="H22" s="51" t="n">
        <x:v>0</x:v>
      </x:c>
      <x:c r="I22" s="51" t="n">
        <x:v>0</x:v>
      </x:c>
      <x:c r="J22" s="51" t="str">
        <x:v>NotAssessed</x:v>
      </x:c>
      <x:c r="K22" s="51" t="str"/>
      <x:c r="L22" s="51" t="str"/>
      <x:c r="M22" s="49"/>
      <x:c r="N22" s="49"/>
      <x:c r="O22" s="49"/>
      <x:c r="P22" s="49"/>
      <x:c r="Q22" s="49"/>
      <x:c r="R22" s="49"/>
      <x:c r="S22" s="49"/>
      <x:c r="T22" s="49"/>
      <x:c r="U22" s="49"/>
      <x:c r="V22" s="49"/>
      <x:c r="W22" s="49"/>
      <x:c r="X22" s="49"/>
      <x:c r="Y22" s="49"/>
      <x:c r="Z22" s="49"/>
    </x:row>
    <x:row r="23">
      <x:c r="A23" s="51" t="str"/>
      <x:c r="B23" s="51" t="str"/>
      <x:c r="C23" s="64" t="str"/>
      <x:c r="D23" s="64" t="str"/>
      <x:c r="E23" s="51" t="n">
        <x:v>0</x:v>
      </x:c>
      <x:c r="F23" s="51" t="n">
        <x:v>0</x:v>
      </x:c>
      <x:c r="G23" s="51" t="n">
        <x:v>0</x:v>
      </x:c>
      <x:c r="H23" s="51" t="n">
        <x:v>0</x:v>
      </x:c>
      <x:c r="I23" s="51" t="n">
        <x:v>0</x:v>
      </x:c>
      <x:c r="J23" s="51" t="str">
        <x:v>NotAssessed</x:v>
      </x:c>
      <x:c r="K23" s="51" t="str"/>
      <x:c r="L23" s="51" t="str"/>
      <x:c r="M23" s="49"/>
      <x:c r="N23" s="49"/>
      <x:c r="O23" s="49"/>
      <x:c r="P23" s="49"/>
      <x:c r="Q23" s="49"/>
      <x:c r="R23" s="49"/>
      <x:c r="S23" s="49"/>
      <x:c r="T23" s="49"/>
      <x:c r="U23" s="49"/>
      <x:c r="V23" s="49"/>
      <x:c r="W23" s="49"/>
      <x:c r="X23" s="49"/>
      <x:c r="Y23" s="49"/>
      <x:c r="Z23" s="49"/>
    </x:row>
    <x:row r="24">
      <x:c r="A24" s="51" t="str"/>
      <x:c r="B24" s="51" t="str"/>
      <x:c r="C24" s="64" t="str"/>
      <x:c r="D24" s="64" t="str"/>
      <x:c r="E24" s="51" t="n">
        <x:v>0</x:v>
      </x:c>
      <x:c r="F24" s="51" t="n">
        <x:v>0</x:v>
      </x:c>
      <x:c r="G24" s="51" t="n">
        <x:v>0</x:v>
      </x:c>
      <x:c r="H24" s="51" t="n">
        <x:v>0</x:v>
      </x:c>
      <x:c r="I24" s="51" t="n">
        <x:v>0</x:v>
      </x:c>
      <x:c r="J24" s="51" t="str">
        <x:v>NotAssessed</x:v>
      </x:c>
      <x:c r="K24" s="51" t="str"/>
      <x:c r="L24" s="51" t="str"/>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sheetData>
  <x:mergeCells>
    <x:mergeCell ref="A1:L2"/>
  </x:mergeCells>
  <x:dataValidations count="1">
    <x:dataValidation type="list" sqref="J5:J24">
      <x:formula1>_Lists!$F$2:$F$5</x:formula1>
    </x:dataValidation>
  </x:dataValidations>
  <x:pageMargins left="0.7" right="0.7" top="0.75" bottom="0.75" header="0.3" footer="0.3"/>
  <x:tableParts count="1">
    <x:tablePart xmlns:r="http://schemas.openxmlformats.org/officeDocument/2006/relationships" r:id="Rdfca9f4b10ae48ad"/>
  </x:tableParts>
</x:worksheet>
</file>

<file path=xl/worksheets/sheet8.xml><?xml version="1.0" encoding="utf-8"?>
<x:worksheet xmlns:x="http://schemas.openxmlformats.org/spreadsheetml/2006/main">
  <x:sheetFormatPr defaultRowHeight="15"/>
  <x:cols>
    <x:col min="1" max="1" width="35" hidden="0" customWidth="1"/>
    <x:col min="2" max="2" width="18" hidden="0" customWidth="1"/>
    <x:col min="4" max="4" width="28" hidden="0" customWidth="1"/>
    <x:col min="5" max="5" width="55" hidden="0" customWidth="1"/>
    <x:col min="6" max="6" width="45" hidden="0" customWidth="1"/>
    <x:col min="7" max="7" width="24" hidden="0" customWidth="1"/>
    <x:col min="8" max="8" width="14" hidden="0" customWidth="1"/>
  </x:cols>
  <x:sheetData>
    <x:row r="1">
      <x:c r="A1" s="48" t="str">
        <x:v>لوحة ذكاء المخاطر والحوكمة</x:v>
      </x:c>
      <x:c r="B1" s="48"/>
      <x:c r="C1" s="48"/>
      <x:c r="D1" s="48"/>
      <x:c r="E1" s="48"/>
      <x:c r="F1" s="48"/>
      <x:c r="G1" s="48"/>
      <x:c r="H1" s="48"/>
      <x:c r="I1" s="49"/>
      <x:c r="J1" s="49"/>
      <x:c r="K1" s="49"/>
      <x:c r="L1" s="49"/>
      <x:c r="M1" s="49"/>
      <x:c r="N1" s="49"/>
      <x:c r="O1" s="49"/>
      <x:c r="P1" s="49"/>
      <x:c r="Q1" s="49"/>
      <x:c r="R1" s="49"/>
      <x:c r="S1" s="49"/>
      <x:c r="T1" s="49"/>
      <x:c r="U1" s="49"/>
      <x:c r="V1" s="49"/>
      <x:c r="W1" s="49"/>
      <x:c r="X1" s="49"/>
      <x:c r="Y1" s="49"/>
      <x:c r="Z1" s="49"/>
    </x:row>
    <x:row r="2">
      <x:c r="A2" s="48"/>
      <x:c r="B2" s="48"/>
      <x:c r="C2" s="48"/>
      <x:c r="D2" s="48"/>
      <x:c r="E2" s="48"/>
      <x:c r="F2" s="48"/>
      <x:c r="G2" s="48"/>
      <x:c r="H2" s="48"/>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58" t="str">
        <x:v>Indicator</x:v>
      </x:c>
      <x:c r="B4" s="58" t="str">
        <x:v>Value</x:v>
      </x:c>
      <x:c r="C4" s="51"/>
      <x:c r="D4" s="58" t="str">
        <x:v>Decision</x:v>
      </x:c>
      <x:c r="E4" s="58" t="str">
        <x:v>Rationale</x:v>
      </x:c>
      <x:c r="F4" s="58" t="str">
        <x:v>Conditions</x:v>
      </x:c>
      <x:c r="G4" s="58" t="str">
        <x:v>Approved By</x:v>
      </x:c>
      <x:c r="H4" s="58" t="str">
        <x:v>Date</x:v>
      </x:c>
      <x:c r="I4" s="49"/>
      <x:c r="J4" s="49"/>
      <x:c r="K4" s="49"/>
      <x:c r="L4" s="49"/>
      <x:c r="M4" s="49"/>
      <x:c r="N4" s="49"/>
      <x:c r="O4" s="49"/>
      <x:c r="P4" s="49"/>
      <x:c r="Q4" s="49"/>
      <x:c r="R4" s="49"/>
      <x:c r="S4" s="49"/>
      <x:c r="T4" s="49"/>
      <x:c r="U4" s="49"/>
      <x:c r="V4" s="49"/>
      <x:c r="W4" s="49"/>
      <x:c r="X4" s="49"/>
      <x:c r="Y4" s="49"/>
      <x:c r="Z4" s="49"/>
    </x:row>
    <x:row r="5">
      <x:c r="A5" s="51" t="str">
        <x:v>Total MEs</x:v>
      </x:c>
      <x:c r="B5" s="51" t="n">
        <x:v>266</x:v>
      </x:c>
      <x:c r="C5" s="51"/>
      <x:c r="D5" s="51" t="str">
        <x:v>Continue Human Review</x:v>
      </x:c>
      <x:c r="E5" s="51"/>
      <x:c r="F5" s="51"/>
      <x:c r="G5" s="51"/>
      <x:c r="H5" s="66"/>
      <x:c r="I5" s="49"/>
      <x:c r="J5" s="49"/>
      <x:c r="K5" s="49"/>
      <x:c r="L5" s="49"/>
      <x:c r="M5" s="49"/>
      <x:c r="N5" s="49"/>
      <x:c r="O5" s="49"/>
      <x:c r="P5" s="49"/>
      <x:c r="Q5" s="49"/>
      <x:c r="R5" s="49"/>
      <x:c r="S5" s="49"/>
      <x:c r="T5" s="49"/>
      <x:c r="U5" s="49"/>
      <x:c r="V5" s="49"/>
      <x:c r="W5" s="49"/>
      <x:c r="X5" s="49"/>
      <x:c r="Y5" s="49"/>
      <x:c r="Z5" s="49"/>
    </x:row>
    <x:row r="6">
      <x:c r="A6" s="51" t="str">
        <x:v>Critical Risk</x:v>
      </x:c>
      <x:c r="B6" s="51" t="n">
        <x:f>COUNTIF(Risk_Register!M5:M270,"Critical")</x:f>
        <x:v>0</x:v>
      </x:c>
      <x:c r="C6" s="51"/>
      <x:c r="D6" s="51"/>
      <x:c r="E6" s="51"/>
      <x:c r="F6" s="51"/>
      <x:c r="G6" s="51"/>
      <x:c r="H6" s="51"/>
      <x:c r="I6" s="49"/>
      <x:c r="J6" s="49"/>
      <x:c r="K6" s="49"/>
      <x:c r="L6" s="49"/>
      <x:c r="M6" s="49"/>
      <x:c r="N6" s="49"/>
      <x:c r="O6" s="49"/>
      <x:c r="P6" s="49"/>
      <x:c r="Q6" s="49"/>
      <x:c r="R6" s="49"/>
      <x:c r="S6" s="49"/>
      <x:c r="T6" s="49"/>
      <x:c r="U6" s="49"/>
      <x:c r="V6" s="49"/>
      <x:c r="W6" s="49"/>
      <x:c r="X6" s="49"/>
      <x:c r="Y6" s="49"/>
      <x:c r="Z6" s="49"/>
    </x:row>
    <x:row r="7">
      <x:c r="A7" s="51" t="str">
        <x:v>High Risk</x:v>
      </x:c>
      <x:c r="B7" s="51" t="n">
        <x:f>COUNTIF(Risk_Register!M5:M270,"High")</x:f>
        <x:v>0</x:v>
      </x:c>
      <x:c r="C7" s="51"/>
      <x:c r="D7" s="51"/>
      <x:c r="E7" s="51"/>
      <x:c r="F7" s="51"/>
      <x:c r="G7" s="51"/>
      <x:c r="H7" s="51"/>
      <x:c r="I7" s="49"/>
      <x:c r="J7" s="49"/>
      <x:c r="K7" s="49"/>
      <x:c r="L7" s="49"/>
      <x:c r="M7" s="49"/>
      <x:c r="N7" s="49"/>
      <x:c r="O7" s="49"/>
      <x:c r="P7" s="49"/>
      <x:c r="Q7" s="49"/>
      <x:c r="R7" s="49"/>
      <x:c r="S7" s="49"/>
      <x:c r="T7" s="49"/>
      <x:c r="U7" s="49"/>
      <x:c r="V7" s="49"/>
      <x:c r="W7" s="49"/>
      <x:c r="X7" s="49"/>
      <x:c r="Y7" s="49"/>
      <x:c r="Z7" s="49"/>
    </x:row>
    <x:row r="8">
      <x:c r="A8" s="51" t="str">
        <x:v>Moderate Risk</x:v>
      </x:c>
      <x:c r="B8" s="51" t="n">
        <x:f>COUNTIF(Risk_Register!M5:M270,"Moderate")</x:f>
        <x:v>19</x:v>
      </x:c>
      <x:c r="C8" s="51"/>
      <x:c r="D8" s="51"/>
      <x:c r="E8" s="51"/>
      <x:c r="F8" s="51"/>
      <x:c r="G8" s="51"/>
      <x:c r="H8" s="51"/>
      <x:c r="I8" s="49"/>
      <x:c r="J8" s="49"/>
      <x:c r="K8" s="49"/>
      <x:c r="L8" s="49"/>
      <x:c r="M8" s="49"/>
      <x:c r="N8" s="49"/>
      <x:c r="O8" s="49"/>
      <x:c r="P8" s="49"/>
      <x:c r="Q8" s="49"/>
      <x:c r="R8" s="49"/>
      <x:c r="S8" s="49"/>
      <x:c r="T8" s="49"/>
      <x:c r="U8" s="49"/>
      <x:c r="V8" s="49"/>
      <x:c r="W8" s="49"/>
      <x:c r="X8" s="49"/>
      <x:c r="Y8" s="49"/>
      <x:c r="Z8" s="49"/>
    </x:row>
    <x:row r="9">
      <x:c r="A9" s="51" t="str">
        <x:v>Low Risk</x:v>
      </x:c>
      <x:c r="B9" s="51" t="n">
        <x:f>COUNTIF(Risk_Register!M5:M270,"Low")</x:f>
        <x:v>247</x:v>
      </x:c>
      <x:c r="C9" s="51"/>
      <x:c r="D9" s="51"/>
      <x:c r="E9" s="51"/>
      <x:c r="F9" s="51"/>
      <x:c r="G9" s="51"/>
      <x:c r="H9" s="51"/>
      <x:c r="I9" s="49"/>
      <x:c r="J9" s="49"/>
      <x:c r="K9" s="49"/>
      <x:c r="L9" s="49"/>
      <x:c r="M9" s="49"/>
      <x:c r="N9" s="49"/>
      <x:c r="O9" s="49"/>
      <x:c r="P9" s="49"/>
      <x:c r="Q9" s="49"/>
      <x:c r="R9" s="49"/>
      <x:c r="S9" s="49"/>
      <x:c r="T9" s="49"/>
      <x:c r="U9" s="49"/>
      <x:c r="V9" s="49"/>
      <x:c r="W9" s="49"/>
      <x:c r="X9" s="49"/>
      <x:c r="Y9" s="49"/>
      <x:c r="Z9" s="49"/>
    </x:row>
    <x:row r="10">
      <x:c r="A10" s="51" t="str">
        <x:v>Average Risk</x:v>
      </x:c>
      <x:c r="B10" s="64" t="n">
        <x:f>AVERAGE(Risk_Register!L5:L270)</x:f>
        <x:v>21.428571428571427</x:v>
      </x:c>
      <x:c r="C10" s="51"/>
      <x:c r="D10" s="51"/>
      <x:c r="E10" s="51"/>
      <x:c r="F10" s="51"/>
      <x:c r="G10" s="51"/>
      <x:c r="H10" s="51"/>
      <x:c r="I10" s="49"/>
      <x:c r="J10" s="49"/>
      <x:c r="K10" s="49"/>
      <x:c r="L10" s="49"/>
      <x:c r="M10" s="49"/>
      <x:c r="N10" s="49"/>
      <x:c r="O10" s="49"/>
      <x:c r="P10" s="49"/>
      <x:c r="Q10" s="49"/>
      <x:c r="R10" s="49"/>
      <x:c r="S10" s="49"/>
      <x:c r="T10" s="49"/>
      <x:c r="U10" s="49"/>
      <x:c r="V10" s="49"/>
      <x:c r="W10" s="49"/>
      <x:c r="X10" s="49"/>
      <x:c r="Y10" s="49"/>
      <x:c r="Z10" s="49"/>
    </x:row>
    <x:row r="11">
      <x:c r="A11" s="51" t="str">
        <x:v>Unreviewed Risk Items</x:v>
      </x:c>
      <x:c r="B11" s="51" t="n">
        <x:f>COUNTIF(Risk_Register!N5:N270,"Unreviewed")</x:f>
        <x:v>266</x:v>
      </x:c>
      <x:c r="C11" s="51"/>
      <x:c r="D11" s="51"/>
      <x:c r="E11" s="51"/>
      <x:c r="F11" s="51"/>
      <x:c r="G11" s="51"/>
      <x:c r="H11" s="51"/>
      <x:c r="I11" s="49"/>
      <x:c r="J11" s="49"/>
      <x:c r="K11" s="49"/>
      <x:c r="L11" s="49"/>
      <x:c r="M11" s="49"/>
      <x:c r="N11" s="49"/>
      <x:c r="O11" s="49"/>
      <x:c r="P11" s="49"/>
      <x:c r="Q11" s="49"/>
      <x:c r="R11" s="49"/>
      <x:c r="S11" s="49"/>
      <x:c r="T11" s="49"/>
      <x:c r="U11" s="49"/>
      <x:c r="V11" s="49"/>
      <x:c r="W11" s="49"/>
      <x:c r="X11" s="49"/>
      <x:c r="Y11" s="49"/>
      <x:c r="Z11" s="49"/>
    </x:row>
    <x:row r="12">
      <x:c r="A12" s="51" t="str">
        <x:v>Pending AI Recommendations</x:v>
      </x:c>
      <x:c r="B12" s="51" t="n">
        <x:f>COUNTIF(Recommendations!K5:K29,"NeedsHumanReview")</x:f>
        <x:v>0</x:v>
      </x:c>
      <x:c r="C12" s="51"/>
      <x:c r="D12" s="51"/>
      <x:c r="E12" s="51"/>
      <x:c r="F12" s="51"/>
      <x:c r="G12" s="51"/>
      <x:c r="H12" s="51"/>
      <x:c r="I12" s="49"/>
      <x:c r="J12" s="49"/>
      <x:c r="K12" s="49"/>
      <x:c r="L12" s="49"/>
      <x:c r="M12" s="49"/>
      <x:c r="N12" s="49"/>
      <x:c r="O12" s="49"/>
      <x:c r="P12" s="49"/>
      <x:c r="Q12" s="49"/>
      <x:c r="R12" s="49"/>
      <x:c r="S12" s="49"/>
      <x:c r="T12" s="49"/>
      <x:c r="U12" s="49"/>
      <x:c r="V12" s="49"/>
      <x:c r="W12" s="49"/>
      <x:c r="X12" s="49"/>
      <x:c r="Y12" s="49"/>
      <x:c r="Z12" s="49"/>
    </x:row>
    <x:row r="13">
      <x:c r="A13" s="51" t="str">
        <x:v>Human Approved for Planning</x:v>
      </x:c>
      <x:c r="B13" s="51" t="n">
        <x:f>COUNTIF(Recommendations!K5:K29,"HumanApprovedForPlanning")</x:f>
        <x:v>0</x:v>
      </x:c>
      <x:c r="C13" s="51"/>
      <x:c r="D13" s="51"/>
      <x:c r="E13" s="51"/>
      <x:c r="F13" s="51"/>
      <x:c r="G13" s="51"/>
      <x:c r="H13" s="51"/>
      <x:c r="I13" s="49"/>
      <x:c r="J13" s="49"/>
      <x:c r="K13" s="49"/>
      <x:c r="L13" s="49"/>
      <x:c r="M13" s="49"/>
      <x:c r="N13" s="49"/>
      <x:c r="O13" s="49"/>
      <x:c r="P13" s="49"/>
      <x:c r="Q13" s="49"/>
      <x:c r="R13" s="49"/>
      <x:c r="S13" s="49"/>
      <x:c r="T13" s="49"/>
      <x:c r="U13" s="49"/>
      <x:c r="V13" s="49"/>
      <x:c r="W13" s="49"/>
      <x:c r="X13" s="49"/>
      <x:c r="Y13" s="49"/>
      <x:c r="Z13" s="49"/>
    </x:row>
    <x:row r="14">
      <x:c r="A14" s="51" t="str">
        <x:v>Guardrail Violations</x:v>
      </x:c>
      <x:c r="B14" s="51" t="n">
        <x:f>COUNTIF(Human_Review!H5:H29,TRUE)+COUNTIF(Human_Review!I5:I29,TRUE)</x:f>
        <x:v>0</x:v>
      </x:c>
      <x:c r="C14" s="51"/>
      <x:c r="D14" s="51"/>
      <x:c r="E14" s="51"/>
      <x:c r="F14" s="51"/>
      <x:c r="G14" s="51"/>
      <x:c r="H14" s="51"/>
      <x:c r="I14" s="49"/>
      <x:c r="J14" s="49"/>
      <x:c r="K14" s="49"/>
      <x:c r="L14" s="49"/>
      <x:c r="M14" s="49"/>
      <x:c r="N14" s="49"/>
      <x:c r="O14" s="49"/>
      <x:c r="P14" s="49"/>
      <x:c r="Q14" s="49"/>
      <x:c r="R14" s="49"/>
      <x:c r="S14" s="49"/>
      <x:c r="T14" s="49"/>
      <x:c r="U14" s="49"/>
      <x:c r="V14" s="49"/>
      <x:c r="W14" s="49"/>
      <x:c r="X14" s="49"/>
      <x:c r="Y14" s="49"/>
      <x:c r="Z14" s="49"/>
    </x:row>
    <x:row r="15">
      <x:c r="A15" s="51" t="str">
        <x:v>Portfolio Sites</x:v>
      </x:c>
      <x:c r="B15" s="51" t="n">
        <x:f>COUNTIF(Portfolio_Sites!A5:A24,"?*")</x:f>
        <x:v>0</x:v>
      </x:c>
      <x:c r="C15" s="51"/>
      <x:c r="D15" s="51"/>
      <x:c r="E15" s="51"/>
      <x:c r="F15" s="51"/>
      <x:c r="G15" s="51"/>
      <x:c r="H15" s="51"/>
      <x:c r="I15" s="49"/>
      <x:c r="J15" s="49"/>
      <x:c r="K15" s="49"/>
      <x:c r="L15" s="49"/>
      <x:c r="M15" s="49"/>
      <x:c r="N15" s="49"/>
      <x:c r="O15" s="49"/>
      <x:c r="P15" s="49"/>
      <x:c r="Q15" s="49"/>
      <x:c r="R15" s="49"/>
      <x:c r="S15" s="49"/>
      <x:c r="T15" s="49"/>
      <x:c r="U15" s="49"/>
      <x:c r="V15" s="49"/>
      <x:c r="W15" s="49"/>
      <x:c r="X15" s="49"/>
      <x:c r="Y15" s="49"/>
      <x:c r="Z15" s="49"/>
    </x:row>
    <x:row r="16">
      <x:c r="A16" s="51" t="str">
        <x:v>Intelligence Ready</x:v>
      </x:c>
      <x:c r="B16" s="51" t="str">
        <x:f>IF(AND(B14=0,B12=0,B11=0),"YES","NO")</x:f>
        <x:v>NO</x:v>
      </x:c>
      <x:c r="C16" s="51"/>
      <x:c r="D16" s="51"/>
      <x:c r="E16" s="51"/>
      <x:c r="F16" s="51"/>
      <x:c r="G16" s="51"/>
      <x:c r="H16" s="51"/>
      <x:c r="I16" s="49"/>
      <x:c r="J16" s="49"/>
      <x:c r="K16" s="49"/>
      <x:c r="L16" s="49"/>
      <x:c r="M16" s="49"/>
      <x:c r="N16" s="49"/>
      <x:c r="O16" s="49"/>
      <x:c r="P16" s="49"/>
      <x:c r="Q16" s="49"/>
      <x:c r="R16" s="49"/>
      <x:c r="S16" s="49"/>
      <x:c r="T16" s="49"/>
      <x:c r="U16" s="49"/>
      <x:c r="V16" s="49"/>
      <x:c r="W16" s="49"/>
      <x:c r="X16" s="49"/>
      <x:c r="Y16" s="49"/>
      <x:c r="Z16" s="49"/>
    </x:row>
    <x:row r="17">
      <x:c r="A17" s="49"/>
      <x:c r="B17" s="49"/>
      <x:c r="C17" s="49"/>
      <x:c r="D17" s="49"/>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49"/>
      <x:c r="B18" s="49"/>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sheetData>
  <x:mergeCells>
    <x:mergeCell ref="A1:H2"/>
  </x:mergeCells>
  <x:conditionalFormatting sqref="B16:B16">
    <x:cfRule type="expression" dxfId="4" priority="1">
      <x:formula>B16="NO"</x:formula>
    </x:cfRule>
    <x:cfRule type="expression" dxfId="5" priority="2">
      <x:formula>B16="YES"</x:formula>
    </x:cfRule>
  </x:conditionalFormatting>
  <x:pageMargins left="0.7" right="0.7" top="0.75" bottom="0.75" header="0.3" footer="0.3"/>
  <x:drawing xmlns:r="http://schemas.openxmlformats.org/officeDocument/2006/relationships" r:id="R0393aa4cda954172"/>
</x:worksheet>
</file>

<file path=xl/worksheets/sheet9.xml><?xml version="1.0" encoding="utf-8"?>
<x:worksheet xmlns:x="http://schemas.openxmlformats.org/spreadsheetml/2006/main">
  <x:sheetFormatPr defaultRowHeight="15"/>
  <x:sheetData>
    <x:row r="1">
      <x:c r="A1" t="str">
        <x:v>ReadinessState</x:v>
      </x:c>
      <x:c r="B1" t="str">
        <x:v>YesNo</x:v>
      </x:c>
      <x:c r="C1" t="str">
        <x:v>HumanStatus</x:v>
      </x:c>
      <x:c r="D1" t="str">
        <x:v>RecommendationStatus</x:v>
      </x:c>
      <x:c r="E1" t="str">
        <x:v>ReviewDecision</x:v>
      </x:c>
      <x:c r="F1" t="str">
        <x:v>SiteStatus</x:v>
      </x:c>
      <x:c r="G1" t="str">
        <x:v>RiskBand</x:v>
      </x:c>
    </x:row>
    <x:row r="2">
      <x:c r="A2" t="str">
        <x:v>Missing</x:v>
      </x:c>
      <x:c r="B2" t="n">
        <x:v>0</x:v>
      </x:c>
      <x:c r="C2" t="str">
        <x:v>Unreviewed</x:v>
      </x:c>
      <x:c r="D2" t="str">
        <x:v>NeedsHumanReview</x:v>
      </x:c>
      <x:c r="E2" t="str">
        <x:v>ApprovedForPlanning</x:v>
      </x:c>
      <x:c r="F2" t="str">
        <x:v>Critical</x:v>
      </x:c>
      <x:c r="G2" t="str">
        <x:v>Critical</x:v>
      </x:c>
    </x:row>
    <x:row r="3">
      <x:c r="A3" t="str">
        <x:v>Partial</x:v>
      </x:c>
      <x:c r="B3" t="n">
        <x:v>1</x:v>
      </x:c>
      <x:c r="C3" t="str">
        <x:v>Reviewed</x:v>
      </x:c>
      <x:c r="D3" t="str">
        <x:v>HumanApprovedForPlanning</x:v>
      </x:c>
      <x:c r="E3" t="str">
        <x:v>Rejected</x:v>
      </x:c>
      <x:c r="F3" t="str">
        <x:v>Attention</x:v>
      </x:c>
      <x:c r="G3" t="str">
        <x:v>High</x:v>
      </x:c>
    </x:row>
    <x:row r="4">
      <x:c r="A4" t="str">
        <x:v>Blocked</x:v>
      </x:c>
      <x:c r="B4" t="str"/>
      <x:c r="C4" t="str">
        <x:v>Escalated</x:v>
      </x:c>
      <x:c r="D4" t="str">
        <x:v>Rejected</x:v>
      </x:c>
      <x:c r="E4" t="str">
        <x:v>NeedsRevision</x:v>
      </x:c>
      <x:c r="F4" t="str">
        <x:v>Stable</x:v>
      </x:c>
      <x:c r="G4" t="str">
        <x:v>Moderate</x:v>
      </x:c>
    </x:row>
    <x:row r="5">
      <x:c r="A5" t="str">
        <x:v>CriticalBlocked</x:v>
      </x:c>
      <x:c r="B5" t="str"/>
      <x:c r="C5" t="str"/>
      <x:c r="D5" t="str">
        <x:v>NeedsRevision</x:v>
      </x:c>
      <x:c r="E5" t="str"/>
      <x:c r="F5" t="str">
        <x:v>NotAssessed</x:v>
      </x:c>
      <x:c r="G5" t="str">
        <x:v>Low</x:v>
      </x:c>
    </x:row>
    <x:row r="6">
      <x:c r="A6" t="str">
        <x:v>EvidenceSufficient</x:v>
      </x:c>
      <x:c r="B6" t="str"/>
      <x:c r="C6" t="str"/>
      <x:c r="D6" t="str"/>
      <x:c r="E6" t="str"/>
      <x:c r="F6" t="str"/>
      <x:c r="G6" t="str"/>
    </x:row>
    <x:row r="7">
      <x:c r="A7" t="str">
        <x:v>NotApplicable</x:v>
      </x:c>
      <x:c r="B7" t="str"/>
      <x:c r="C7" t="str"/>
      <x:c r="D7" t="str"/>
      <x:c r="E7" t="str"/>
      <x:c r="F7" t="str"/>
      <x:c r="G7" t="str"/>
    </x:row>
    <x:row r="8">
      <x:c r="A8" t="str"/>
      <x:c r="B8" t="str"/>
      <x:c r="C8" t="str"/>
      <x:c r="D8" t="str"/>
      <x:c r="E8" t="str"/>
      <x:c r="F8" t="str"/>
      <x:c r="G8" t="str"/>
    </x:row>
    <x:row r="9">
      <x:c r="A9" t="str"/>
      <x:c r="B9" t="str"/>
      <x:c r="C9" t="str"/>
      <x:c r="D9" t="str"/>
      <x:c r="E9" t="str"/>
      <x:c r="F9" t="str"/>
      <x:c r="G9" t="str"/>
    </x:row>
    <x:row r="10">
      <x:c r="A10" t="str"/>
      <x:c r="B10" t="str"/>
      <x:c r="C10" t="str"/>
      <x:c r="D10" t="str"/>
      <x:c r="E10" t="str"/>
      <x:c r="F10" t="str"/>
      <x:c r="G10" t="str"/>
    </x:row>
  </x:sheetData>
  <x:pageMargins left="0.7" right="0.7" top="0.75" bottom="0.75" header="0.3" footer="0.3"/>
</x:worksheet>
</file>